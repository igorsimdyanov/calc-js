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нструкция" sheetId="1" state="visible" r:id="rId3"/>
    <sheet name="Прогон" sheetId="2" state="visible" r:id="rId4"/>
    <sheet name="Сводка" sheetId="3" state="visible" r:id="rId5"/>
  </sheets>
  <definedNames>
    <definedName function="false" hidden="false" localSheetId="1" name="_xlnm.Print_Titles" vbProcedure="false">Прогон!$1:$1</definedName>
    <definedName function="false" hidden="true" localSheetId="1" name="_xlnm._FilterDatabase" vbProcedure="false">Прогон!$A$1:$M$16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<sst xmlns="http://schemas.openxmlformats.org/spreadsheetml/2006/main" count="284" uniqueCount="180">
  <si>
    <t xml:space="preserve">Тестовые кейсы: калькулятор, JS-версия — интерфейс и ввод чисел</t>
  </si>
  <si>
    <t xml:space="preserve">Книга для прогонов. Сокращённый набор ручных тестовых кейсов для калькулятора в виде «Стандартный» (React + Vite): только разделы «Интерфейс» и «Ввод чисел». Кейсы составлены по разделу «Требования к калькулятору» в README; полный набор — в test-cases.md. Тот же набор в Markdown — docs/test-cases-short.md.</t>
  </si>
  <si>
    <t xml:space="preserve">Как провести прогон</t>
  </si>
  <si>
    <t xml:space="preserve">1. Параметры</t>
  </si>
  <si>
    <t xml:space="preserve">На листе «Сводка» заполните жёлтые ячейки: версию сборки из подвала страницы, стенд, браузер и ОС, своё имя, даты прогона.</t>
  </si>
  <si>
    <t xml:space="preserve">2. Выполнение</t>
  </si>
  <si>
    <t xml:space="preserve">На листе «Прогон» выполняйте кейсы по порядку или отфильтруйте их по разделу и приоритету (стрелки в заголовках). Перед каждым кейсом верните калькулятор в исходное состояние (ОП-1).</t>
  </si>
  <si>
    <t xml:space="preserve">3. Результаты</t>
  </si>
  <si>
    <t xml:space="preserve">Заполняйте только жёлтые столбцы J–M: «Статус» (выбор из списка), «Фактический результат», «Баг-репорт», «Комментарий». Столбцы A–I — описание кейса, их не меняйте.</t>
  </si>
  <si>
    <t xml:space="preserve">4. Итоги</t>
  </si>
  <si>
    <t xml:space="preserve">Лист «Сводка» считает итоги сам: по статусам, разделам и приоритетам.</t>
  </si>
  <si>
    <t xml:space="preserve">Статусы</t>
  </si>
  <si>
    <t xml:space="preserve">Статус</t>
  </si>
  <si>
    <t xml:space="preserve">Когда ставить</t>
  </si>
  <si>
    <t xml:space="preserve">Не выполнялся</t>
  </si>
  <si>
    <t xml:space="preserve">Кейс ещё не проверяли. Стоит по умолчанию.</t>
  </si>
  <si>
    <t xml:space="preserve">Пройден</t>
  </si>
  <si>
    <t xml:space="preserve">На всех шагах фактический результат совпал с ожидаемым.</t>
  </si>
  <si>
    <t xml:space="preserve">Не пройден</t>
  </si>
  <si>
    <t xml:space="preserve">Хотя бы на одном шаге результат отличается. В «Фактический результат» запишите номер шага и что увидели, в «Баг-репорт» — номер или ссылку на заведённый дефект.</t>
  </si>
  <si>
    <t xml:space="preserve">Заблокирован</t>
  </si>
  <si>
    <t xml:space="preserve">Кейс нельзя выполнить: не получается выполнить предусловие или мешает другой дефект. Причину запишите в «Комментарий».</t>
  </si>
  <si>
    <t xml:space="preserve">Пропущен</t>
  </si>
  <si>
    <t xml:space="preserve">Кейс сознательно не выполняли в этом прогоне, например он не входит в объём смоук-теста. Причину запишите в «Комментарий».</t>
  </si>
  <si>
    <t xml:space="preserve">Приоритеты</t>
  </si>
  <si>
    <t xml:space="preserve">Высокий</t>
  </si>
  <si>
    <t xml:space="preserve">Основная функция: без неё калькулятором нельзя пользоваться.</t>
  </si>
  <si>
    <t xml:space="preserve">Средний</t>
  </si>
  <si>
    <t xml:space="preserve">Важная, но не основная функция.</t>
  </si>
  <si>
    <t xml:space="preserve">Низкий</t>
  </si>
  <si>
    <t xml:space="preserve">Граничные и редкие случаи.</t>
  </si>
  <si>
    <t xml:space="preserve">Общие предусловия</t>
  </si>
  <si>
    <t xml:space="preserve">ОП-1. Исходное состояние</t>
  </si>
  <si>
    <r>
      <rPr>
        <sz val="10"/>
        <rFont val="Arial"/>
        <family val="0"/>
        <charset val="1"/>
      </rPr>
      <t xml:space="preserve">Страница калькулятора только что открыта или перезагружена (</t>
    </r>
    <r>
      <rPr>
        <b val="true"/>
        <sz val="10"/>
        <rFont val="Arial"/>
        <family val="0"/>
        <charset val="1"/>
      </rPr>
      <t xml:space="preserve">F5</t>
    </r>
    <r>
      <rPr>
        <sz val="10"/>
        <rFont val="Arial"/>
        <family val="0"/>
        <charset val="1"/>
      </rPr>
      <t xml:space="preserve">): на экране </t>
    </r>
    <r>
      <rPr>
        <b val="true"/>
        <sz val="10"/>
        <rFont val="Arial"/>
        <family val="0"/>
        <charset val="1"/>
      </rPr>
      <t xml:space="preserve">0</t>
    </r>
    <r>
      <rPr>
        <sz val="10"/>
        <rFont val="Arial"/>
        <family val="0"/>
        <charset val="1"/>
      </rPr>
      <t xml:space="preserve">, строка выражения пуста, индикатора </t>
    </r>
    <r>
      <rPr>
        <b val="true"/>
        <sz val="10"/>
        <rFont val="Arial"/>
        <family val="0"/>
        <charset val="1"/>
      </rPr>
      <t xml:space="preserve">M</t>
    </r>
    <r>
      <rPr>
        <sz val="10"/>
        <rFont val="Arial"/>
        <family val="0"/>
        <charset val="1"/>
      </rPr>
      <t xml:space="preserve"> нет, журнал пуст. Память и журнал живут только до перезагрузки страницы, поэтому перезагрузка — самый надёжный способ вернуться в исходное состояние между кейсами.</t>
    </r>
  </si>
  <si>
    <t xml:space="preserve">ОП-2. Окружение</t>
  </si>
  <si>
    <t xml:space="preserve">Актуальная версия Chrome, Firefox или Safari; ширина окна не меньше 760 px, так что журнал виден справа от калькулятора (кроме кейсов, где ширина указана явно).</t>
  </si>
  <si>
    <t xml:space="preserve">ОП-3. Стенд</t>
  </si>
  <si>
    <r>
      <rPr>
        <sz val="10"/>
        <rFont val="Arial"/>
        <family val="0"/>
        <charset val="1"/>
      </rPr>
      <t xml:space="preserve">https://calc.simdyanov.ru или локальный запуск (</t>
    </r>
    <r>
      <rPr>
        <b val="true"/>
        <sz val="10"/>
        <rFont val="Arial"/>
        <family val="0"/>
        <charset val="1"/>
      </rPr>
      <t xml:space="preserve">npm run dev</t>
    </r>
    <r>
      <rPr>
        <sz val="10"/>
        <rFont val="Arial"/>
        <family val="0"/>
        <charset val="1"/>
      </rPr>
      <t xml:space="preserve"> → http://localhost:5173, Docker → http://localhost:8080). Версия сборки указана в подвале страницы — её нужно записывать в результаты прогона и баг-репорты.</t>
    </r>
  </si>
  <si>
    <t xml:space="preserve">Обозначения</t>
  </si>
  <si>
    <t xml:space="preserve">Экран</t>
  </si>
  <si>
    <r>
      <rPr>
        <sz val="10"/>
        <rFont val="Arial"/>
        <family val="0"/>
        <charset val="1"/>
      </rPr>
      <t xml:space="preserve">Основной экран с числом (</t>
    </r>
    <r>
      <rPr>
        <b val="true"/>
        <sz val="10"/>
        <rFont val="Arial"/>
        <family val="0"/>
        <charset val="1"/>
      </rPr>
      <t xml:space="preserve">data-testid="display"</t>
    </r>
    <r>
      <rPr>
        <sz val="10"/>
        <rFont val="Arial"/>
        <family val="0"/>
        <charset val="1"/>
      </rPr>
      <t xml:space="preserve">).</t>
    </r>
  </si>
  <si>
    <t xml:space="preserve">Выражение</t>
  </si>
  <si>
    <r>
      <rPr>
        <sz val="10"/>
        <rFont val="Arial"/>
        <family val="0"/>
        <charset val="1"/>
      </rPr>
      <t xml:space="preserve">Строка над основным экраном (</t>
    </r>
    <r>
      <rPr>
        <b val="true"/>
        <sz val="10"/>
        <rFont val="Arial"/>
        <family val="0"/>
        <charset val="1"/>
      </rPr>
      <t xml:space="preserve">data-testid="expression"</t>
    </r>
    <r>
      <rPr>
        <sz val="10"/>
        <rFont val="Arial"/>
        <family val="0"/>
        <charset val="1"/>
      </rPr>
      <t xml:space="preserve">).</t>
    </r>
  </si>
  <si>
    <t xml:space="preserve">Журнал</t>
  </si>
  <si>
    <r>
      <rPr>
        <sz val="10"/>
        <rFont val="Arial"/>
        <family val="0"/>
        <charset val="1"/>
      </rPr>
      <t xml:space="preserve">Панель «Журнал» (</t>
    </r>
    <r>
      <rPr>
        <b val="true"/>
        <sz val="10"/>
        <rFont val="Arial"/>
        <family val="0"/>
        <charset val="1"/>
      </rPr>
      <t xml:space="preserve">data-testid="history"</t>
    </r>
    <r>
      <rPr>
        <sz val="10"/>
        <rFont val="Arial"/>
        <family val="0"/>
        <charset val="1"/>
      </rPr>
      <t xml:space="preserve">), записи в ней — </t>
    </r>
    <r>
      <rPr>
        <b val="true"/>
        <sz val="10"/>
        <rFont val="Arial"/>
        <family val="0"/>
        <charset val="1"/>
      </rPr>
      <t xml:space="preserve">history-item</t>
    </r>
    <r>
      <rPr>
        <sz val="10"/>
        <rFont val="Arial"/>
        <family val="0"/>
        <charset val="1"/>
      </rPr>
      <t xml:space="preserve">.</t>
    </r>
  </si>
  <si>
    <t xml:space="preserve">—</t>
  </si>
  <si>
    <r>
      <rPr>
        <sz val="10"/>
        <rFont val="Arial"/>
        <family val="0"/>
        <charset val="1"/>
      </rPr>
      <t xml:space="preserve">Кнопки записаны так, как подписаны на калькуляторе: </t>
    </r>
    <r>
      <rPr>
        <b val="true"/>
        <sz val="10"/>
        <rFont val="Arial"/>
        <family val="0"/>
        <charset val="1"/>
      </rPr>
      <t xml:space="preserve">+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−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×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÷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=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%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¹⁄ₓ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x²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²√x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+/−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,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CE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C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⌫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MC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MR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M+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M−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MS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</si>
  <si>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«Набрать </t>
    </r>
    <r>
      <rPr>
        <b val="true"/>
        <sz val="10"/>
        <rFont val="Arial"/>
        <family val="0"/>
        <charset val="1"/>
      </rPr>
      <t xml:space="preserve">2,5</t>
    </r>
    <r>
      <rPr>
        <sz val="10"/>
        <rFont val="Arial"/>
        <family val="0"/>
        <charset val="1"/>
      </rPr>
      <t xml:space="preserve">» — нажать по очереди </t>
    </r>
    <r>
      <rPr>
        <b val="true"/>
        <sz val="10"/>
        <rFont val="Arial"/>
        <family val="0"/>
        <charset val="1"/>
      </rPr>
      <t xml:space="preserve">2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,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5</t>
    </r>
    <r>
      <rPr>
        <sz val="10"/>
        <rFont val="Arial"/>
        <family val="0"/>
        <charset val="1"/>
      </rPr>
      <t xml:space="preserve">. Кнопки нажимаются мышью, если в кейсе не сказано иное.</t>
    </r>
  </si>
  <si>
    <r>
      <rPr>
        <sz val="10"/>
        <rFont val="Arial"/>
        <family val="0"/>
        <charset val="1"/>
      </rPr>
      <t xml:space="preserve">Значения на экране записаны точно так, как они выводятся: пробел разделяет разряды, запятая — дробную часть (</t>
    </r>
    <r>
      <rPr>
        <b val="true"/>
        <sz val="10"/>
        <rFont val="Arial"/>
        <family val="0"/>
        <charset val="1"/>
      </rPr>
      <t xml:space="preserve">1 234 567,5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</si>
  <si>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Запись журнала обозначена как </t>
    </r>
    <r>
      <rPr>
        <b val="true"/>
        <sz val="10"/>
        <rFont val="Arial"/>
        <family val="0"/>
        <charset val="1"/>
      </rPr>
      <t xml:space="preserve">выражение</t>
    </r>
    <r>
      <rPr>
        <sz val="10"/>
        <rFont val="Arial"/>
        <family val="0"/>
        <charset val="1"/>
      </rPr>
      <t xml:space="preserve"> → </t>
    </r>
    <r>
      <rPr>
        <b val="true"/>
        <sz val="10"/>
        <rFont val="Arial"/>
        <family val="0"/>
        <charset val="1"/>
      </rPr>
      <t xml:space="preserve">результат</t>
    </r>
    <r>
      <rPr>
        <sz val="10"/>
        <rFont val="Arial"/>
        <family val="0"/>
        <charset val="1"/>
      </rPr>
      <t xml:space="preserve">, например </t>
    </r>
    <r>
      <rPr>
        <b val="true"/>
        <sz val="10"/>
        <rFont val="Arial"/>
        <family val="0"/>
        <charset val="1"/>
      </rPr>
      <t xml:space="preserve">12 + 30 =</t>
    </r>
    <r>
      <rPr>
        <sz val="10"/>
        <rFont val="Arial"/>
        <family val="0"/>
        <charset val="1"/>
      </rPr>
      <t xml:space="preserve"> → </t>
    </r>
    <r>
      <rPr>
        <b val="true"/>
        <sz val="10"/>
        <rFont val="Arial"/>
        <family val="0"/>
        <charset val="1"/>
      </rPr>
      <t xml:space="preserve">42</t>
    </r>
    <r>
      <rPr>
        <sz val="10"/>
        <rFont val="Arial"/>
        <family val="0"/>
        <charset val="1"/>
      </rPr>
      <t xml:space="preserve">.</t>
    </r>
  </si>
  <si>
    <t xml:space="preserve">Шаги и результаты</t>
  </si>
  <si>
    <t xml:space="preserve">Номер строки в «Ожидаемом результате» совпадает с номером шага в «Шагах».</t>
  </si>
  <si>
    <t xml:space="preserve">Пример: кейс пройден (условные данные)</t>
  </si>
  <si>
    <t xml:space="preserve">ID</t>
  </si>
  <si>
    <t xml:space="preserve">TC-UI-01</t>
  </si>
  <si>
    <t xml:space="preserve">Фактический результат</t>
  </si>
  <si>
    <t xml:space="preserve">Оставьте пустым: он совпал с ожидаемым.</t>
  </si>
  <si>
    <t xml:space="preserve">Пример: кейс не пройден (условные данные, не результат реального прогона)</t>
  </si>
  <si>
    <t xml:space="preserve">TC-INP-02</t>
  </si>
  <si>
    <t xml:space="preserve">Шаг 2: на экране 05, ожидалось 5</t>
  </si>
  <si>
    <t xml:space="preserve">Баг-репорт</t>
  </si>
  <si>
    <t xml:space="preserve">BUG-17</t>
  </si>
  <si>
    <t xml:space="preserve">Комментарий</t>
  </si>
  <si>
    <t xml:space="preserve">Воспроизводится в Firefox, в Chrome — нет</t>
  </si>
  <si>
    <t xml:space="preserve">Название</t>
  </si>
  <si>
    <t xml:space="preserve">Раздел</t>
  </si>
  <si>
    <t xml:space="preserve">Приоритет</t>
  </si>
  <si>
    <t xml:space="preserve">Требование</t>
  </si>
  <si>
    <t xml:space="preserve">Предусловия</t>
  </si>
  <si>
    <t xml:space="preserve">Шаги</t>
  </si>
  <si>
    <t xml:space="preserve">Ожидаемый результат</t>
  </si>
  <si>
    <t xml:space="preserve">Постусловия</t>
  </si>
  <si>
    <t xml:space="preserve">Исходное состояние после загрузки</t>
  </si>
  <si>
    <t xml:space="preserve">Интерфейс</t>
  </si>
  <si>
    <t xml:space="preserve">«Операции», «Журнал»</t>
  </si>
  <si>
    <t xml:space="preserve">ОП-2, ОП-3. Страница калькулятора ещё не открыта.</t>
  </si>
  <si>
    <t xml:space="preserve">1. Открыть страницу калькулятора
2. Посмотреть на кнопки памяти
3. Посмотреть на журнал
4. Посмотреть на подвал страницы</t>
  </si>
  <si>
    <r>
      <rPr>
        <sz val="10"/>
        <rFont val="Arial"/>
        <family val="0"/>
        <charset val="1"/>
      </rPr>
      <t xml:space="preserve">1. Заголовок «Стандартный». Экран: </t>
    </r>
    <r>
      <rPr>
        <b val="true"/>
        <sz val="10"/>
        <rFont val="Arial"/>
        <family val="0"/>
        <charset val="1"/>
      </rPr>
      <t xml:space="preserve">0</t>
    </r>
    <r>
      <rPr>
        <sz val="10"/>
        <rFont val="Arial"/>
        <family val="0"/>
        <charset val="1"/>
      </rPr>
      <t xml:space="preserve">; выражение пустое; индикатора </t>
    </r>
    <r>
      <rPr>
        <b val="true"/>
        <sz val="10"/>
        <rFont val="Arial"/>
        <family val="0"/>
        <charset val="1"/>
      </rPr>
      <t xml:space="preserve">M</t>
    </r>
    <r>
      <rPr>
        <sz val="10"/>
        <rFont val="Arial"/>
        <family val="0"/>
        <charset val="1"/>
      </rPr>
      <t xml:space="preserve"> нет
2. </t>
    </r>
    <r>
      <rPr>
        <b val="true"/>
        <sz val="10"/>
        <rFont val="Arial"/>
        <family val="0"/>
        <charset val="1"/>
      </rPr>
      <t xml:space="preserve">MC</t>
    </r>
    <r>
      <rPr>
        <sz val="10"/>
        <rFont val="Arial"/>
        <family val="0"/>
        <charset val="1"/>
      </rPr>
      <t xml:space="preserve"> и </t>
    </r>
    <r>
      <rPr>
        <b val="true"/>
        <sz val="10"/>
        <rFont val="Arial"/>
        <family val="0"/>
        <charset val="1"/>
      </rPr>
      <t xml:space="preserve">MR</t>
    </r>
    <r>
      <rPr>
        <sz val="10"/>
        <rFont val="Arial"/>
        <family val="0"/>
        <charset val="1"/>
      </rPr>
      <t xml:space="preserve"> недоступны; </t>
    </r>
    <r>
      <rPr>
        <b val="true"/>
        <sz val="10"/>
        <rFont val="Arial"/>
        <family val="0"/>
        <charset val="1"/>
      </rPr>
      <t xml:space="preserve">M+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M−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MS</t>
    </r>
    <r>
      <rPr>
        <sz val="10"/>
        <rFont val="Arial"/>
        <family val="0"/>
        <charset val="1"/>
      </rPr>
      <t xml:space="preserve"> доступны
3. Журнал виден справа, в нём текст «Журнал пока пуст»; кнопка с корзиной недоступна
4. Текст «Учебный проект · версия 1.0.0»</t>
    </r>
  </si>
  <si>
    <t xml:space="preserve">Калькулятор в исходном состоянии (ОП-1); память и журнал пусты.</t>
  </si>
  <si>
    <t xml:space="preserve">TC-INP-01</t>
  </si>
  <si>
    <t xml:space="preserve">Ввод целого числа</t>
  </si>
  <si>
    <t xml:space="preserve">Ввод чисел</t>
  </si>
  <si>
    <t xml:space="preserve">«Ввод»</t>
  </si>
  <si>
    <t xml:space="preserve">ОП-1.</t>
  </si>
  <si>
    <r>
      <rPr>
        <sz val="10"/>
        <rFont val="Arial"/>
        <family val="0"/>
        <charset val="1"/>
      </rPr>
      <t xml:space="preserve">1. Нажать </t>
    </r>
    <r>
      <rPr>
        <b val="true"/>
        <sz val="10"/>
        <rFont val="Arial"/>
        <family val="0"/>
        <charset val="1"/>
      </rPr>
      <t xml:space="preserve">1
</t>
    </r>
    <r>
      <rPr>
        <sz val="10"/>
        <rFont val="Arial"/>
        <family val="0"/>
        <charset val="1"/>
      </rPr>
      <t xml:space="preserve">2. Нажать </t>
    </r>
    <r>
      <rPr>
        <b val="true"/>
        <sz val="10"/>
        <rFont val="Arial"/>
        <family val="0"/>
        <charset val="1"/>
      </rPr>
      <t xml:space="preserve">2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3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</si>
  <si>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1
</t>
    </r>
    <r>
      <rPr>
        <sz val="10"/>
        <rFont val="Arial"/>
        <family val="0"/>
        <charset val="1"/>
      </rPr>
      <t xml:space="preserve">2. Экран: </t>
    </r>
    <r>
      <rPr>
        <b val="true"/>
        <sz val="10"/>
        <rFont val="Arial"/>
        <family val="0"/>
        <charset val="1"/>
      </rPr>
      <t xml:space="preserve">123</t>
    </r>
    <r>
      <rPr>
        <sz val="10"/>
        <rFont val="Arial"/>
        <family val="0"/>
        <charset val="1"/>
      </rPr>
      <t xml:space="preserve">; выражение пустое</t>
    </r>
  </si>
  <si>
    <r>
      <rPr>
        <sz val="10"/>
        <rFont val="Arial"/>
        <family val="0"/>
        <charset val="1"/>
      </rPr>
      <t xml:space="preserve">Набирается число </t>
    </r>
    <r>
      <rPr>
        <b val="true"/>
        <sz val="10"/>
        <rFont val="Arial"/>
        <family val="0"/>
        <charset val="1"/>
      </rPr>
      <t xml:space="preserve">123</t>
    </r>
    <r>
      <rPr>
        <sz val="10"/>
        <rFont val="Arial"/>
        <family val="0"/>
        <charset val="1"/>
      </rPr>
      <t xml:space="preserve">, операций нет; журнал пуст.</t>
    </r>
  </si>
  <si>
    <t xml:space="preserve">Ведущие нули не допускаются</t>
  </si>
  <si>
    <r>
      <rPr>
        <sz val="10"/>
        <rFont val="Arial"/>
        <family val="0"/>
        <charset val="1"/>
      </rPr>
      <t xml:space="preserve">1. Нажать </t>
    </r>
    <r>
      <rPr>
        <b val="true"/>
        <sz val="10"/>
        <rFont val="Arial"/>
        <family val="0"/>
        <charset val="1"/>
      </rPr>
      <t xml:space="preserve">0</t>
    </r>
    <r>
      <rPr>
        <sz val="10"/>
        <rFont val="Arial"/>
        <family val="0"/>
        <charset val="1"/>
      </rPr>
      <t xml:space="preserve"> три раза
2. Нажать </t>
    </r>
    <r>
      <rPr>
        <b val="true"/>
        <sz val="10"/>
        <rFont val="Arial"/>
        <family val="0"/>
        <charset val="1"/>
      </rPr>
      <t xml:space="preserve">5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</si>
  <si>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0</t>
    </r>
    <r>
      <rPr>
        <sz val="10"/>
        <rFont val="Arial"/>
        <family val="0"/>
        <charset val="1"/>
      </rPr>
      <t xml:space="preserve"> (не </t>
    </r>
    <r>
      <rPr>
        <b val="true"/>
        <sz val="10"/>
        <rFont val="Arial"/>
        <family val="0"/>
        <charset val="1"/>
      </rPr>
      <t xml:space="preserve">000</t>
    </r>
    <r>
      <rPr>
        <sz val="10"/>
        <rFont val="Arial"/>
        <family val="0"/>
        <charset val="1"/>
      </rPr>
      <t xml:space="preserve">)
2. Экран: </t>
    </r>
    <r>
      <rPr>
        <b val="true"/>
        <sz val="10"/>
        <rFont val="Arial"/>
        <family val="0"/>
        <charset val="1"/>
      </rPr>
      <t xml:space="preserve">5</t>
    </r>
    <r>
      <rPr>
        <sz val="10"/>
        <rFont val="Arial"/>
        <family val="0"/>
        <charset val="1"/>
      </rPr>
      <t xml:space="preserve"> (не </t>
    </r>
    <r>
      <rPr>
        <b val="true"/>
        <sz val="10"/>
        <rFont val="Arial"/>
        <family val="0"/>
        <charset val="1"/>
      </rPr>
      <t xml:space="preserve">05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</si>
  <si>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Набирается число </t>
    </r>
    <r>
      <rPr>
        <b val="true"/>
        <sz val="10"/>
        <rFont val="Arial"/>
        <family val="0"/>
        <charset val="1"/>
      </rPr>
      <t xml:space="preserve">5</t>
    </r>
    <r>
      <rPr>
        <sz val="10"/>
        <rFont val="Arial"/>
        <family val="0"/>
        <charset val="1"/>
      </rPr>
      <t xml:space="preserve">.</t>
    </r>
  </si>
  <si>
    <t xml:space="preserve">TC-INP-03</t>
  </si>
  <si>
    <t xml:space="preserve">Ввод дробного числа</t>
  </si>
  <si>
    <r>
      <rPr>
        <sz val="10"/>
        <rFont val="Arial"/>
        <family val="0"/>
        <charset val="1"/>
      </rPr>
      <t xml:space="preserve">1. Нажать </t>
    </r>
    <r>
      <rPr>
        <b val="true"/>
        <sz val="10"/>
        <rFont val="Arial"/>
        <family val="0"/>
        <charset val="1"/>
      </rPr>
      <t xml:space="preserve">3
</t>
    </r>
    <r>
      <rPr>
        <sz val="10"/>
        <rFont val="Arial"/>
        <family val="0"/>
        <charset val="1"/>
      </rPr>
      <t xml:space="preserve">2. Нажать </t>
    </r>
    <r>
      <rPr>
        <b val="true"/>
        <sz val="10"/>
        <rFont val="Arial"/>
        <family val="0"/>
        <charset val="1"/>
      </rPr>
      <t xml:space="preserve">,
</t>
    </r>
    <r>
      <rPr>
        <sz val="10"/>
        <rFont val="Arial"/>
        <family val="0"/>
        <charset val="1"/>
      </rPr>
      <t xml:space="preserve">3. Нажать </t>
    </r>
    <r>
      <rPr>
        <b val="true"/>
        <sz val="10"/>
        <rFont val="Arial"/>
        <family val="0"/>
        <charset val="1"/>
      </rPr>
      <t xml:space="preserve">1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4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</si>
  <si>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3
</t>
    </r>
    <r>
      <rPr>
        <sz val="10"/>
        <rFont val="Arial"/>
        <family val="0"/>
        <charset val="1"/>
      </rPr>
      <t xml:space="preserve">2. Экран: </t>
    </r>
    <r>
      <rPr>
        <b val="true"/>
        <sz val="10"/>
        <rFont val="Arial"/>
        <family val="0"/>
        <charset val="1"/>
      </rPr>
      <t xml:space="preserve">3,
</t>
    </r>
    <r>
      <rPr>
        <sz val="10"/>
        <rFont val="Arial"/>
        <family val="0"/>
        <charset val="1"/>
      </rPr>
      <t xml:space="preserve">3. Экран: </t>
    </r>
    <r>
      <rPr>
        <b val="true"/>
        <sz val="10"/>
        <rFont val="Arial"/>
        <family val="0"/>
        <charset val="1"/>
      </rPr>
      <t xml:space="preserve">3,14</t>
    </r>
  </si>
  <si>
    <r>
      <rPr>
        <sz val="10"/>
        <rFont val="Arial"/>
        <family val="0"/>
        <charset val="1"/>
      </rPr>
      <t xml:space="preserve">Набирается число </t>
    </r>
    <r>
      <rPr>
        <b val="true"/>
        <sz val="10"/>
        <rFont val="Arial"/>
        <family val="0"/>
        <charset val="1"/>
      </rPr>
      <t xml:space="preserve">3,14</t>
    </r>
    <r>
      <rPr>
        <sz val="10"/>
        <rFont val="Arial"/>
        <family val="0"/>
        <charset val="1"/>
      </rPr>
      <t xml:space="preserve">.</t>
    </r>
  </si>
  <si>
    <t xml:space="preserve">TC-INP-04</t>
  </si>
  <si>
    <t xml:space="preserve">Разделитель в начале числа</t>
  </si>
  <si>
    <r>
      <rPr>
        <sz val="10"/>
        <rFont val="Arial"/>
        <family val="0"/>
        <charset val="1"/>
      </rPr>
      <t xml:space="preserve">1. Нажать </t>
    </r>
    <r>
      <rPr>
        <b val="true"/>
        <sz val="10"/>
        <rFont val="Arial"/>
        <family val="0"/>
        <charset val="1"/>
      </rPr>
      <t xml:space="preserve">,
</t>
    </r>
    <r>
      <rPr>
        <sz val="10"/>
        <rFont val="Arial"/>
        <family val="0"/>
        <charset val="1"/>
      </rPr>
      <t xml:space="preserve">2. Нажать </t>
    </r>
    <r>
      <rPr>
        <b val="true"/>
        <sz val="10"/>
        <rFont val="Arial"/>
        <family val="0"/>
        <charset val="1"/>
      </rPr>
      <t xml:space="preserve">5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</si>
  <si>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0,
</t>
    </r>
    <r>
      <rPr>
        <sz val="10"/>
        <rFont val="Arial"/>
        <family val="0"/>
        <charset val="1"/>
      </rPr>
      <t xml:space="preserve">2. Экран: </t>
    </r>
    <r>
      <rPr>
        <b val="true"/>
        <sz val="10"/>
        <rFont val="Arial"/>
        <family val="0"/>
        <charset val="1"/>
      </rPr>
      <t xml:space="preserve">0,5</t>
    </r>
  </si>
  <si>
    <r>
      <rPr>
        <sz val="10"/>
        <rFont val="Arial"/>
        <family val="0"/>
        <charset val="1"/>
      </rPr>
      <t xml:space="preserve">Набирается число </t>
    </r>
    <r>
      <rPr>
        <b val="true"/>
        <sz val="10"/>
        <rFont val="Arial"/>
        <family val="0"/>
        <charset val="1"/>
      </rPr>
      <t xml:space="preserve">0,5</t>
    </r>
    <r>
      <rPr>
        <sz val="10"/>
        <rFont val="Arial"/>
        <family val="0"/>
        <charset val="1"/>
      </rPr>
      <t xml:space="preserve">.</t>
    </r>
  </si>
  <si>
    <t xml:space="preserve">TC-INP-05</t>
  </si>
  <si>
    <t xml:space="preserve">Второй разделитель игнорируется</t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</si>
  <si>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1,2
</t>
    </r>
    <r>
      <rPr>
        <sz val="10"/>
        <rFont val="Arial"/>
        <family val="0"/>
        <charset val="1"/>
      </rPr>
      <t xml:space="preserve">2. Нажать </t>
    </r>
    <r>
      <rPr>
        <b val="true"/>
        <sz val="10"/>
        <rFont val="Arial"/>
        <family val="0"/>
        <charset val="1"/>
      </rPr>
      <t xml:space="preserve">,
</t>
    </r>
    <r>
      <rPr>
        <sz val="10"/>
        <rFont val="Arial"/>
        <family val="0"/>
        <charset val="1"/>
      </rPr>
      <t xml:space="preserve">3. Нажать </t>
    </r>
    <r>
      <rPr>
        <b val="true"/>
        <sz val="10"/>
        <rFont val="Arial"/>
        <family val="0"/>
        <charset val="1"/>
      </rPr>
      <t xml:space="preserve">3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</si>
  <si>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1,2
</t>
    </r>
    <r>
      <rPr>
        <sz val="10"/>
        <rFont val="Arial"/>
        <family val="0"/>
        <charset val="1"/>
      </rPr>
      <t xml:space="preserve">2. Экран не изменился: </t>
    </r>
    <r>
      <rPr>
        <b val="true"/>
        <sz val="10"/>
        <rFont val="Arial"/>
        <family val="0"/>
        <charset val="1"/>
      </rPr>
      <t xml:space="preserve">1,2
</t>
    </r>
    <r>
      <rPr>
        <sz val="10"/>
        <rFont val="Arial"/>
        <family val="0"/>
        <charset val="1"/>
      </rPr>
      <t xml:space="preserve">3. Экран: </t>
    </r>
    <r>
      <rPr>
        <b val="true"/>
        <sz val="10"/>
        <rFont val="Arial"/>
        <family val="0"/>
        <charset val="1"/>
      </rPr>
      <t xml:space="preserve">1,23</t>
    </r>
  </si>
  <si>
    <r>
      <rPr>
        <sz val="10"/>
        <rFont val="Arial"/>
        <family val="0"/>
        <charset val="1"/>
      </rPr>
      <t xml:space="preserve">Набирается число </t>
    </r>
    <r>
      <rPr>
        <b val="true"/>
        <sz val="10"/>
        <rFont val="Arial"/>
        <family val="0"/>
        <charset val="1"/>
      </rPr>
      <t xml:space="preserve">1,23</t>
    </r>
    <r>
      <rPr>
        <sz val="10"/>
        <rFont val="Arial"/>
        <family val="0"/>
        <charset val="1"/>
      </rPr>
      <t xml:space="preserve">, в нём один разделитель.</t>
    </r>
  </si>
  <si>
    <t xml:space="preserve">TC-INP-06</t>
  </si>
  <si>
    <t xml:space="preserve">Не более 15 цифр в целом числе</t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</si>
  <si>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123456789012345</t>
    </r>
    <r>
      <rPr>
        <sz val="10"/>
        <rFont val="Arial"/>
        <family val="0"/>
        <charset val="1"/>
      </rPr>
      <t xml:space="preserve"> (15 цифр)
2. Нажать </t>
    </r>
    <r>
      <rPr>
        <b val="true"/>
        <sz val="10"/>
        <rFont val="Arial"/>
        <family val="0"/>
        <charset val="1"/>
      </rPr>
      <t xml:space="preserve">6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</si>
  <si>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123 456 789 012 345
</t>
    </r>
    <r>
      <rPr>
        <sz val="10"/>
        <rFont val="Arial"/>
        <family val="0"/>
        <charset val="1"/>
      </rPr>
      <t xml:space="preserve">2. Экран не изменился: </t>
    </r>
    <r>
      <rPr>
        <b val="true"/>
        <sz val="10"/>
        <rFont val="Arial"/>
        <family val="0"/>
        <charset val="1"/>
      </rPr>
      <t xml:space="preserve">123 456 789 012 345</t>
    </r>
  </si>
  <si>
    <t xml:space="preserve">Набирается число из 15 цифр; следующие цифры не принимаются, пока число не завершено.</t>
  </si>
  <si>
    <t xml:space="preserve">TC-INP-07</t>
  </si>
  <si>
    <t xml:space="preserve">Не более 15 цифр в дробном числе</t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</si>
  <si>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1,23456789012345</t>
    </r>
    <r>
      <rPr>
        <sz val="10"/>
        <rFont val="Arial"/>
        <family val="0"/>
        <charset val="1"/>
      </rPr>
      <t xml:space="preserve"> (15 цифр)
2. Нажать </t>
    </r>
    <r>
      <rPr>
        <b val="true"/>
        <sz val="10"/>
        <rFont val="Arial"/>
        <family val="0"/>
        <charset val="1"/>
      </rPr>
      <t xml:space="preserve">6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</si>
  <si>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1,23456789012345
</t>
    </r>
    <r>
      <rPr>
        <sz val="10"/>
        <rFont val="Arial"/>
        <family val="0"/>
        <charset val="1"/>
      </rPr>
      <t xml:space="preserve">2. Экран не изменился: </t>
    </r>
    <r>
      <rPr>
        <b val="true"/>
        <sz val="10"/>
        <rFont val="Arial"/>
        <family val="0"/>
        <charset val="1"/>
      </rPr>
      <t xml:space="preserve">1,23456789012345</t>
    </r>
  </si>
  <si>
    <t xml:space="preserve">Набирается число из 15 цифр; запятая в лимит не входит.</t>
  </si>
  <si>
    <t xml:space="preserve">TC-INP-08</t>
  </si>
  <si>
    <t xml:space="preserve">Разбиение на разряды при вводе</t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</si>
  <si>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1234
</t>
    </r>
    <r>
      <rPr>
        <sz val="10"/>
        <rFont val="Arial"/>
        <family val="0"/>
        <charset val="1"/>
      </rPr>
      <t xml:space="preserve">2. Нажать </t>
    </r>
    <r>
      <rPr>
        <b val="true"/>
        <sz val="10"/>
        <rFont val="Arial"/>
        <family val="0"/>
        <charset val="1"/>
      </rPr>
      <t xml:space="preserve">5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6</t>
    </r>
    <r>
      <rPr>
        <sz val="10"/>
        <rFont val="Arial"/>
        <family val="0"/>
        <charset val="1"/>
      </rPr>
      <t xml:space="preserve">, </t>
    </r>
    <r>
      <rPr>
        <b val="true"/>
        <sz val="10"/>
        <rFont val="Arial"/>
        <family val="0"/>
        <charset val="1"/>
      </rPr>
      <t xml:space="preserve">7
</t>
    </r>
    <r>
      <rPr>
        <sz val="10"/>
        <rFont val="Arial"/>
        <family val="0"/>
        <charset val="1"/>
      </rPr>
      <t xml:space="preserve">3. Набрать </t>
    </r>
    <r>
      <rPr>
        <b val="true"/>
        <sz val="10"/>
        <rFont val="Arial"/>
        <family val="0"/>
        <charset val="1"/>
      </rPr>
      <t xml:space="preserve">,5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</si>
  <si>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1 234
</t>
    </r>
    <r>
      <rPr>
        <sz val="10"/>
        <rFont val="Arial"/>
        <family val="0"/>
        <charset val="1"/>
      </rPr>
      <t xml:space="preserve">2. Экран: </t>
    </r>
    <r>
      <rPr>
        <b val="true"/>
        <sz val="10"/>
        <rFont val="Arial"/>
        <family val="0"/>
        <charset val="1"/>
      </rPr>
      <t xml:space="preserve">1 234 567
</t>
    </r>
    <r>
      <rPr>
        <sz val="10"/>
        <rFont val="Arial"/>
        <family val="0"/>
        <charset val="1"/>
      </rPr>
      <t xml:space="preserve">3. Экран: </t>
    </r>
    <r>
      <rPr>
        <b val="true"/>
        <sz val="10"/>
        <rFont val="Arial"/>
        <family val="0"/>
        <charset val="1"/>
      </rPr>
      <t xml:space="preserve">1 234 567,5</t>
    </r>
    <r>
      <rPr>
        <sz val="10"/>
        <rFont val="Arial"/>
        <family val="0"/>
        <charset val="1"/>
      </rPr>
      <t xml:space="preserve">; дробная часть на разряды не разбивается</t>
    </r>
  </si>
  <si>
    <r>
      <rPr>
        <sz val="10"/>
        <rFont val="Arial"/>
        <family val="0"/>
        <charset val="1"/>
      </rPr>
      <t xml:space="preserve">Набирается число </t>
    </r>
    <r>
      <rPr>
        <b val="true"/>
        <sz val="10"/>
        <rFont val="Arial"/>
        <family val="0"/>
        <charset val="1"/>
      </rPr>
      <t xml:space="preserve">1 234 567,5</t>
    </r>
    <r>
      <rPr>
        <sz val="10"/>
        <rFont val="Arial"/>
        <family val="0"/>
        <charset val="1"/>
      </rPr>
      <t xml:space="preserve">.</t>
    </r>
  </si>
  <si>
    <t xml:space="preserve">TC-INP-09</t>
  </si>
  <si>
    <t xml:space="preserve">Смена знака набираемого числа</t>
  </si>
  <si>
    <r>
      <rPr>
        <sz val="10"/>
        <rFont val="Arial"/>
        <family val="0"/>
        <charset val="1"/>
      </rPr>
      <t xml:space="preserve">«Операции» (</t>
    </r>
    <r>
      <rPr>
        <b val="true"/>
        <sz val="10"/>
        <rFont val="Arial"/>
        <family val="0"/>
        <charset val="1"/>
      </rPr>
      <t xml:space="preserve">+/−</t>
    </r>
    <r>
      <rPr>
        <sz val="10"/>
        <rFont val="Arial"/>
        <family val="0"/>
        <charset val="1"/>
      </rPr>
      <t xml:space="preserve">), «Ввод»</t>
    </r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</si>
  <si>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3,5
</t>
    </r>
    <r>
      <rPr>
        <sz val="10"/>
        <rFont val="Arial"/>
        <family val="0"/>
        <charset val="1"/>
      </rPr>
      <t xml:space="preserve">2. Нажать </t>
    </r>
    <r>
      <rPr>
        <b val="true"/>
        <sz val="10"/>
        <rFont val="Arial"/>
        <family val="0"/>
        <charset val="1"/>
      </rPr>
      <t xml:space="preserve">+/−
</t>
    </r>
    <r>
      <rPr>
        <sz val="10"/>
        <rFont val="Arial"/>
        <family val="0"/>
        <charset val="1"/>
      </rPr>
      <t xml:space="preserve">3. Нажать </t>
    </r>
    <r>
      <rPr>
        <b val="true"/>
        <sz val="10"/>
        <rFont val="Arial"/>
        <family val="0"/>
        <charset val="1"/>
      </rPr>
      <t xml:space="preserve">+/−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</si>
  <si>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3,5
</t>
    </r>
    <r>
      <rPr>
        <sz val="10"/>
        <rFont val="Arial"/>
        <family val="0"/>
        <charset val="1"/>
      </rPr>
      <t xml:space="preserve">2. Экран: </t>
    </r>
    <r>
      <rPr>
        <b val="true"/>
        <sz val="10"/>
        <rFont val="Arial"/>
        <family val="0"/>
        <charset val="1"/>
      </rPr>
      <t xml:space="preserve">-3,5</t>
    </r>
    <r>
      <rPr>
        <sz val="10"/>
        <rFont val="Arial"/>
        <family val="0"/>
        <charset val="1"/>
      </rPr>
      <t xml:space="preserve">; выражение пустое
3. Экран: </t>
    </r>
    <r>
      <rPr>
        <b val="true"/>
        <sz val="10"/>
        <rFont val="Arial"/>
        <family val="0"/>
        <charset val="1"/>
      </rPr>
      <t xml:space="preserve">3,5</t>
    </r>
  </si>
  <si>
    <r>
      <rPr>
        <sz val="10"/>
        <rFont val="Arial"/>
        <family val="0"/>
        <charset val="1"/>
      </rPr>
      <t xml:space="preserve">Набирается число </t>
    </r>
    <r>
      <rPr>
        <b val="true"/>
        <sz val="10"/>
        <rFont val="Arial"/>
        <family val="0"/>
        <charset val="1"/>
      </rPr>
      <t xml:space="preserve">3,5</t>
    </r>
    <r>
      <rPr>
        <sz val="10"/>
        <rFont val="Arial"/>
        <family val="0"/>
        <charset val="1"/>
      </rPr>
      <t xml:space="preserve">; ввод можно продолжить.</t>
    </r>
  </si>
  <si>
    <t xml:space="preserve">TC-INP-10</t>
  </si>
  <si>
    <t xml:space="preserve">Стирание последнего символа</t>
  </si>
  <si>
    <r>
      <rPr>
        <sz val="10"/>
        <rFont val="Arial"/>
        <family val="0"/>
        <charset val="1"/>
      </rPr>
      <t xml:space="preserve">«Операции» (</t>
    </r>
    <r>
      <rPr>
        <b val="true"/>
        <sz val="10"/>
        <rFont val="Arial"/>
        <family val="0"/>
        <charset val="1"/>
      </rPr>
      <t xml:space="preserve">⌫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</si>
  <si>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123
</t>
    </r>
    <r>
      <rPr>
        <sz val="10"/>
        <rFont val="Arial"/>
        <family val="0"/>
        <charset val="1"/>
      </rPr>
      <t xml:space="preserve">2. Нажать </t>
    </r>
    <r>
      <rPr>
        <b val="true"/>
        <sz val="10"/>
        <rFont val="Arial"/>
        <family val="0"/>
        <charset val="1"/>
      </rPr>
      <t xml:space="preserve">⌫
</t>
    </r>
    <r>
      <rPr>
        <sz val="10"/>
        <rFont val="Arial"/>
        <family val="0"/>
        <charset val="1"/>
      </rPr>
      <t xml:space="preserve">3. Нажать </t>
    </r>
    <r>
      <rPr>
        <b val="true"/>
        <sz val="10"/>
        <rFont val="Arial"/>
        <family val="0"/>
        <charset val="1"/>
      </rPr>
      <t xml:space="preserve">⌫</t>
    </r>
    <r>
      <rPr>
        <sz val="10"/>
        <rFont val="Arial"/>
        <family val="0"/>
        <charset val="1"/>
      </rPr>
      <t xml:space="preserve"> два раза
4. Набрать </t>
    </r>
    <r>
      <rPr>
        <b val="true"/>
        <sz val="10"/>
        <rFont val="Arial"/>
        <family val="0"/>
        <charset val="1"/>
      </rPr>
      <t xml:space="preserve">5,
</t>
    </r>
    <r>
      <rPr>
        <sz val="10"/>
        <rFont val="Arial"/>
        <family val="0"/>
        <charset val="1"/>
      </rPr>
      <t xml:space="preserve">5. Нажать </t>
    </r>
    <r>
      <rPr>
        <b val="true"/>
        <sz val="10"/>
        <rFont val="Arial"/>
        <family val="0"/>
        <charset val="1"/>
      </rPr>
      <t xml:space="preserve">⌫
</t>
    </r>
    <r>
      <rPr>
        <sz val="10"/>
        <rFont val="Arial"/>
        <family val="0"/>
        <charset val="1"/>
      </rPr>
      <t xml:space="preserve">6. Нажать </t>
    </r>
    <r>
      <rPr>
        <b val="true"/>
        <sz val="10"/>
        <rFont val="Arial"/>
        <family val="0"/>
        <charset val="1"/>
      </rPr>
      <t xml:space="preserve">7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</si>
  <si>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123
</t>
    </r>
    <r>
      <rPr>
        <sz val="10"/>
        <rFont val="Arial"/>
        <family val="0"/>
        <charset val="1"/>
      </rPr>
      <t xml:space="preserve">2. Экран: </t>
    </r>
    <r>
      <rPr>
        <b val="true"/>
        <sz val="10"/>
        <rFont val="Arial"/>
        <family val="0"/>
        <charset val="1"/>
      </rPr>
      <t xml:space="preserve">12
</t>
    </r>
    <r>
      <rPr>
        <sz val="10"/>
        <rFont val="Arial"/>
        <family val="0"/>
        <charset val="1"/>
      </rPr>
      <t xml:space="preserve">3. Экран: </t>
    </r>
    <r>
      <rPr>
        <b val="true"/>
        <sz val="10"/>
        <rFont val="Arial"/>
        <family val="0"/>
        <charset val="1"/>
      </rPr>
      <t xml:space="preserve">0
</t>
    </r>
    <r>
      <rPr>
        <sz val="10"/>
        <rFont val="Arial"/>
        <family val="0"/>
        <charset val="1"/>
      </rPr>
      <t xml:space="preserve">4. Экран: </t>
    </r>
    <r>
      <rPr>
        <b val="true"/>
        <sz val="10"/>
        <rFont val="Arial"/>
        <family val="0"/>
        <charset val="1"/>
      </rPr>
      <t xml:space="preserve">5,
</t>
    </r>
    <r>
      <rPr>
        <sz val="10"/>
        <rFont val="Arial"/>
        <family val="0"/>
        <charset val="1"/>
      </rPr>
      <t xml:space="preserve">5. Экран: </t>
    </r>
    <r>
      <rPr>
        <b val="true"/>
        <sz val="10"/>
        <rFont val="Arial"/>
        <family val="0"/>
        <charset val="1"/>
      </rPr>
      <t xml:space="preserve">5
</t>
    </r>
    <r>
      <rPr>
        <sz val="10"/>
        <rFont val="Arial"/>
        <family val="0"/>
        <charset val="1"/>
      </rPr>
      <t xml:space="preserve">6. Экран: </t>
    </r>
    <r>
      <rPr>
        <b val="true"/>
        <sz val="10"/>
        <rFont val="Arial"/>
        <family val="0"/>
        <charset val="1"/>
      </rPr>
      <t xml:space="preserve">57</t>
    </r>
    <r>
      <rPr>
        <sz val="10"/>
        <rFont val="Arial"/>
        <family val="0"/>
        <charset val="1"/>
      </rPr>
      <t xml:space="preserve"> — разделитель действительно удалён</t>
    </r>
  </si>
  <si>
    <r>
      <rPr>
        <sz val="10"/>
        <rFont val="Arial"/>
        <family val="0"/>
        <charset val="1"/>
      </rPr>
      <t xml:space="preserve">Набирается число </t>
    </r>
    <r>
      <rPr>
        <b val="true"/>
        <sz val="10"/>
        <rFont val="Arial"/>
        <family val="0"/>
        <charset val="1"/>
      </rPr>
      <t xml:space="preserve">57</t>
    </r>
    <r>
      <rPr>
        <sz val="10"/>
        <rFont val="Arial"/>
        <family val="0"/>
        <charset val="1"/>
      </rPr>
      <t xml:space="preserve">.</t>
    </r>
  </si>
  <si>
    <t xml:space="preserve">TC-INP-11</t>
  </si>
  <si>
    <r>
      <rPr>
        <b val="true"/>
        <sz val="10"/>
        <rFont val="Arial"/>
        <family val="0"/>
        <charset val="1"/>
      </rPr>
      <t xml:space="preserve">⌫</t>
    </r>
    <r>
      <rPr>
        <sz val="10"/>
        <rFont val="Arial"/>
        <family val="0"/>
        <charset val="1"/>
      </rPr>
      <t xml:space="preserve"> не изменяет результат вычисления</t>
    </r>
  </si>
  <si>
    <r>
      <rPr>
        <sz val="10"/>
        <rFont val="Arial"/>
        <family val="0"/>
        <charset val="1"/>
      </rPr>
      <t xml:space="preserve">«Операции» (</t>
    </r>
    <r>
      <rPr>
        <b val="true"/>
        <sz val="10"/>
        <rFont val="Arial"/>
        <family val="0"/>
        <charset val="1"/>
      </rPr>
      <t xml:space="preserve">⌫</t>
    </r>
    <r>
      <rPr>
        <sz val="10"/>
        <rFont val="Arial"/>
        <family val="0"/>
        <charset val="1"/>
      </rPr>
      <t xml:space="preserve">); эталон — калькулятор Windows</t>
    </r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</si>
  <si>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2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+</t>
    </r>
    <r>
      <rPr>
        <sz val="10"/>
        <rFont val="Arial"/>
        <family val="0"/>
        <charset val="1"/>
      </rPr>
      <t xml:space="preserve">, набрать </t>
    </r>
    <r>
      <rPr>
        <b val="true"/>
        <sz val="10"/>
        <rFont val="Arial"/>
        <family val="0"/>
        <charset val="1"/>
      </rPr>
      <t xml:space="preserve">3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=
</t>
    </r>
    <r>
      <rPr>
        <sz val="10"/>
        <rFont val="Arial"/>
        <family val="0"/>
        <charset val="1"/>
      </rPr>
      <t xml:space="preserve">2. Нажать </t>
    </r>
    <r>
      <rPr>
        <b val="true"/>
        <sz val="10"/>
        <rFont val="Arial"/>
        <family val="0"/>
        <charset val="1"/>
      </rPr>
      <t xml:space="preserve">⌫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</si>
  <si>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5</t>
    </r>
    <r>
      <rPr>
        <sz val="10"/>
        <rFont val="Arial"/>
        <family val="0"/>
        <charset val="1"/>
      </rPr>
      <t xml:space="preserve">; выражение: </t>
    </r>
    <r>
      <rPr>
        <b val="true"/>
        <sz val="10"/>
        <rFont val="Arial"/>
        <family val="0"/>
        <charset val="1"/>
      </rPr>
      <t xml:space="preserve">2 + 3 =
</t>
    </r>
    <r>
      <rPr>
        <sz val="10"/>
        <rFont val="Arial"/>
        <family val="0"/>
        <charset val="1"/>
      </rPr>
      <t xml:space="preserve">2. Экран не изменился: </t>
    </r>
    <r>
      <rPr>
        <b val="true"/>
        <sz val="10"/>
        <rFont val="Arial"/>
        <family val="0"/>
        <charset val="1"/>
      </rPr>
      <t xml:space="preserve">5</t>
    </r>
    <r>
      <rPr>
        <sz val="10"/>
        <rFont val="Arial"/>
        <family val="0"/>
        <charset val="1"/>
      </rPr>
      <t xml:space="preserve">; выражение очищено</t>
    </r>
  </si>
  <si>
    <r>
      <rPr>
        <sz val="10"/>
        <rFont val="Arial"/>
        <family val="0"/>
        <charset val="1"/>
      </rPr>
      <t xml:space="preserve">На экране результат </t>
    </r>
    <r>
      <rPr>
        <b val="true"/>
        <sz val="10"/>
        <rFont val="Arial"/>
        <family val="0"/>
        <charset val="1"/>
      </rPr>
      <t xml:space="preserve">5</t>
    </r>
    <r>
      <rPr>
        <sz val="10"/>
        <rFont val="Arial"/>
        <family val="0"/>
        <charset val="1"/>
      </rPr>
      <t xml:space="preserve">; в журнале запись </t>
    </r>
    <r>
      <rPr>
        <b val="true"/>
        <sz val="10"/>
        <rFont val="Arial"/>
        <family val="0"/>
        <charset val="1"/>
      </rPr>
      <t xml:space="preserve">2 + 3 =</t>
    </r>
    <r>
      <rPr>
        <sz val="10"/>
        <rFont val="Arial"/>
        <family val="0"/>
        <charset val="1"/>
      </rPr>
      <t xml:space="preserve"> → </t>
    </r>
    <r>
      <rPr>
        <b val="true"/>
        <sz val="10"/>
        <rFont val="Arial"/>
        <family val="0"/>
        <charset val="1"/>
      </rPr>
      <t xml:space="preserve">5</t>
    </r>
    <r>
      <rPr>
        <sz val="10"/>
        <rFont val="Arial"/>
        <family val="0"/>
        <charset val="1"/>
      </rPr>
      <t xml:space="preserve">.</t>
    </r>
  </si>
  <si>
    <t xml:space="preserve">TC-INP-12</t>
  </si>
  <si>
    <r>
      <rPr>
        <b val="true"/>
        <sz val="10"/>
        <rFont val="Arial"/>
        <family val="0"/>
        <charset val="1"/>
      </rPr>
      <t xml:space="preserve">CE</t>
    </r>
    <r>
      <rPr>
        <sz val="10"/>
        <rFont val="Arial"/>
        <family val="0"/>
        <charset val="1"/>
      </rPr>
      <t xml:space="preserve"> очищает только текущий ввод</t>
    </r>
  </si>
  <si>
    <r>
      <rPr>
        <sz val="10"/>
        <rFont val="Arial"/>
        <family val="0"/>
        <charset val="1"/>
      </rPr>
      <t xml:space="preserve">«Операции» (</t>
    </r>
    <r>
      <rPr>
        <b val="true"/>
        <sz val="10"/>
        <rFont val="Arial"/>
        <family val="0"/>
        <charset val="1"/>
      </rPr>
      <t xml:space="preserve">CE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</si>
  <si>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12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+</t>
    </r>
    <r>
      <rPr>
        <sz val="10"/>
        <rFont val="Arial"/>
        <family val="0"/>
        <charset val="1"/>
      </rPr>
      <t xml:space="preserve">, набрать </t>
    </r>
    <r>
      <rPr>
        <b val="true"/>
        <sz val="10"/>
        <rFont val="Arial"/>
        <family val="0"/>
        <charset val="1"/>
      </rPr>
      <t xml:space="preserve">34
</t>
    </r>
    <r>
      <rPr>
        <sz val="10"/>
        <rFont val="Arial"/>
        <family val="0"/>
        <charset val="1"/>
      </rPr>
      <t xml:space="preserve">2. Нажать </t>
    </r>
    <r>
      <rPr>
        <b val="true"/>
        <sz val="10"/>
        <rFont val="Arial"/>
        <family val="0"/>
        <charset val="1"/>
      </rPr>
      <t xml:space="preserve">CE
</t>
    </r>
    <r>
      <rPr>
        <sz val="10"/>
        <rFont val="Arial"/>
        <family val="0"/>
        <charset val="1"/>
      </rPr>
      <t xml:space="preserve">3. Набрать </t>
    </r>
    <r>
      <rPr>
        <b val="true"/>
        <sz val="10"/>
        <rFont val="Arial"/>
        <family val="0"/>
        <charset val="1"/>
      </rPr>
      <t xml:space="preserve">5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=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</si>
  <si>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34</t>
    </r>
    <r>
      <rPr>
        <sz val="10"/>
        <rFont val="Arial"/>
        <family val="0"/>
        <charset val="1"/>
      </rPr>
      <t xml:space="preserve">; выражение: </t>
    </r>
    <r>
      <rPr>
        <b val="true"/>
        <sz val="10"/>
        <rFont val="Arial"/>
        <family val="0"/>
        <charset val="1"/>
      </rPr>
      <t xml:space="preserve">12 +
</t>
    </r>
    <r>
      <rPr>
        <sz val="10"/>
        <rFont val="Arial"/>
        <family val="0"/>
        <charset val="1"/>
      </rPr>
      <t xml:space="preserve">2. Экран: </t>
    </r>
    <r>
      <rPr>
        <b val="true"/>
        <sz val="10"/>
        <rFont val="Arial"/>
        <family val="0"/>
        <charset val="1"/>
      </rPr>
      <t xml:space="preserve">0</t>
    </r>
    <r>
      <rPr>
        <sz val="10"/>
        <rFont val="Arial"/>
        <family val="0"/>
        <charset val="1"/>
      </rPr>
      <t xml:space="preserve">; выражение по-прежнему </t>
    </r>
    <r>
      <rPr>
        <b val="true"/>
        <sz val="10"/>
        <rFont val="Arial"/>
        <family val="0"/>
        <charset val="1"/>
      </rPr>
      <t xml:space="preserve">12 +
</t>
    </r>
    <r>
      <rPr>
        <sz val="10"/>
        <rFont val="Arial"/>
        <family val="0"/>
        <charset val="1"/>
      </rPr>
      <t xml:space="preserve">3. Экран: </t>
    </r>
    <r>
      <rPr>
        <b val="true"/>
        <sz val="10"/>
        <rFont val="Arial"/>
        <family val="0"/>
        <charset val="1"/>
      </rPr>
      <t xml:space="preserve">17</t>
    </r>
    <r>
      <rPr>
        <sz val="10"/>
        <rFont val="Arial"/>
        <family val="0"/>
        <charset val="1"/>
      </rPr>
      <t xml:space="preserve">; выражение: </t>
    </r>
    <r>
      <rPr>
        <b val="true"/>
        <sz val="10"/>
        <rFont val="Arial"/>
        <family val="0"/>
        <charset val="1"/>
      </rPr>
      <t xml:space="preserve">12 + 5 =</t>
    </r>
  </si>
  <si>
    <r>
      <rPr>
        <sz val="10"/>
        <rFont val="Arial"/>
        <family val="0"/>
        <charset val="1"/>
      </rPr>
      <t xml:space="preserve">В журнале одна запись </t>
    </r>
    <r>
      <rPr>
        <b val="true"/>
        <sz val="10"/>
        <rFont val="Arial"/>
        <family val="0"/>
        <charset val="1"/>
      </rPr>
      <t xml:space="preserve">12 + 5 =</t>
    </r>
    <r>
      <rPr>
        <sz val="10"/>
        <rFont val="Arial"/>
        <family val="0"/>
        <charset val="1"/>
      </rPr>
      <t xml:space="preserve"> → </t>
    </r>
    <r>
      <rPr>
        <b val="true"/>
        <sz val="10"/>
        <rFont val="Arial"/>
        <family val="0"/>
        <charset val="1"/>
      </rPr>
      <t xml:space="preserve">17</t>
    </r>
    <r>
      <rPr>
        <sz val="10"/>
        <rFont val="Arial"/>
        <family val="0"/>
        <charset val="1"/>
      </rPr>
      <t xml:space="preserve">; число </t>
    </r>
    <r>
      <rPr>
        <b val="true"/>
        <sz val="10"/>
        <rFont val="Arial"/>
        <family val="0"/>
        <charset val="1"/>
      </rPr>
      <t xml:space="preserve">34</t>
    </r>
    <r>
      <rPr>
        <sz val="10"/>
        <rFont val="Arial"/>
        <family val="0"/>
        <charset val="1"/>
      </rPr>
      <t xml:space="preserve"> в вычисление не попало.</t>
    </r>
  </si>
  <si>
    <t xml:space="preserve">TC-INP-13</t>
  </si>
  <si>
    <r>
      <rPr>
        <b val="true"/>
        <sz val="10"/>
        <rFont val="Arial"/>
        <family val="0"/>
        <charset val="1"/>
      </rPr>
      <t xml:space="preserve">C</t>
    </r>
    <r>
      <rPr>
        <sz val="10"/>
        <rFont val="Arial"/>
        <family val="0"/>
        <charset val="1"/>
      </rPr>
      <t xml:space="preserve"> выполняет полный сброс</t>
    </r>
  </si>
  <si>
    <r>
      <rPr>
        <sz val="10"/>
        <rFont val="Arial"/>
        <family val="0"/>
        <charset val="1"/>
      </rPr>
      <t xml:space="preserve">«Операции» (</t>
    </r>
    <r>
      <rPr>
        <b val="true"/>
        <sz val="10"/>
        <rFont val="Arial"/>
        <family val="0"/>
        <charset val="1"/>
      </rPr>
      <t xml:space="preserve">C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</si>
  <si>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1. Набрать </t>
    </r>
    <r>
      <rPr>
        <b val="true"/>
        <sz val="10"/>
        <rFont val="Arial"/>
        <family val="0"/>
        <charset val="1"/>
      </rPr>
      <t xml:space="preserve">12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+</t>
    </r>
    <r>
      <rPr>
        <sz val="10"/>
        <rFont val="Arial"/>
        <family val="0"/>
        <charset val="1"/>
      </rPr>
      <t xml:space="preserve">, набрать </t>
    </r>
    <r>
      <rPr>
        <b val="true"/>
        <sz val="10"/>
        <rFont val="Arial"/>
        <family val="0"/>
        <charset val="1"/>
      </rPr>
      <t xml:space="preserve">34
</t>
    </r>
    <r>
      <rPr>
        <sz val="10"/>
        <rFont val="Arial"/>
        <family val="0"/>
        <charset val="1"/>
      </rPr>
      <t xml:space="preserve">2. Нажать </t>
    </r>
    <r>
      <rPr>
        <b val="true"/>
        <sz val="10"/>
        <rFont val="Arial"/>
        <family val="0"/>
        <charset val="1"/>
      </rPr>
      <t xml:space="preserve">C
</t>
    </r>
    <r>
      <rPr>
        <sz val="10"/>
        <rFont val="Arial"/>
        <family val="0"/>
        <charset val="1"/>
      </rPr>
      <t xml:space="preserve">3. Набрать </t>
    </r>
    <r>
      <rPr>
        <b val="true"/>
        <sz val="10"/>
        <rFont val="Arial"/>
        <family val="0"/>
        <charset val="1"/>
      </rPr>
      <t xml:space="preserve">5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=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</si>
  <si>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34</t>
    </r>
    <r>
      <rPr>
        <sz val="10"/>
        <rFont val="Arial"/>
        <family val="0"/>
        <charset val="1"/>
      </rPr>
      <t xml:space="preserve">; выражение: </t>
    </r>
    <r>
      <rPr>
        <b val="true"/>
        <sz val="10"/>
        <rFont val="Arial"/>
        <family val="0"/>
        <charset val="1"/>
      </rPr>
      <t xml:space="preserve">12 +
</t>
    </r>
    <r>
      <rPr>
        <sz val="10"/>
        <rFont val="Arial"/>
        <family val="0"/>
        <charset val="1"/>
      </rPr>
      <t xml:space="preserve">2. Экран: </t>
    </r>
    <r>
      <rPr>
        <b val="true"/>
        <sz val="10"/>
        <rFont val="Arial"/>
        <family val="0"/>
        <charset val="1"/>
      </rPr>
      <t xml:space="preserve">0</t>
    </r>
    <r>
      <rPr>
        <sz val="10"/>
        <rFont val="Arial"/>
        <family val="0"/>
        <charset val="1"/>
      </rPr>
      <t xml:space="preserve">; выражение пустое
3. Экран: </t>
    </r>
    <r>
      <rPr>
        <b val="true"/>
        <sz val="10"/>
        <rFont val="Arial"/>
        <family val="0"/>
        <charset val="1"/>
      </rPr>
      <t xml:space="preserve">5</t>
    </r>
    <r>
      <rPr>
        <sz val="10"/>
        <rFont val="Arial"/>
        <family val="0"/>
        <charset val="1"/>
      </rPr>
      <t xml:space="preserve"> — сложение с </t>
    </r>
    <r>
      <rPr>
        <b val="true"/>
        <sz val="10"/>
        <rFont val="Arial"/>
        <family val="0"/>
        <charset val="1"/>
      </rPr>
      <t xml:space="preserve">12</t>
    </r>
    <r>
      <rPr>
        <sz val="10"/>
        <rFont val="Arial"/>
        <family val="0"/>
        <charset val="1"/>
      </rPr>
      <t xml:space="preserve"> не выполняется</t>
    </r>
  </si>
  <si>
    <t xml:space="preserve">Незавершённой операции нет; журнал пуст.</t>
  </si>
  <si>
    <t xml:space="preserve">TC-INP-14</t>
  </si>
  <si>
    <r>
      <rPr>
        <b val="true"/>
        <sz val="10"/>
        <rFont val="Arial"/>
        <family val="0"/>
        <charset val="1"/>
      </rPr>
      <t xml:space="preserve">C</t>
    </r>
    <r>
      <rPr>
        <sz val="10"/>
        <rFont val="Arial"/>
        <family val="0"/>
        <charset val="1"/>
      </rPr>
      <t xml:space="preserve"> сохраняет память и журнал</t>
    </r>
  </si>
  <si>
    <r>
      <rPr>
        <sz val="10"/>
        <rFont val="Arial"/>
        <family val="0"/>
        <charset val="1"/>
      </rPr>
      <t xml:space="preserve">ОП-1, затем:
1. Набрать </t>
    </r>
    <r>
      <rPr>
        <b val="true"/>
        <sz val="10"/>
        <rFont val="Arial"/>
        <family val="0"/>
        <charset val="1"/>
      </rPr>
      <t xml:space="preserve">2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+</t>
    </r>
    <r>
      <rPr>
        <sz val="10"/>
        <rFont val="Arial"/>
        <family val="0"/>
        <charset val="1"/>
      </rPr>
      <t xml:space="preserve">, набрать </t>
    </r>
    <r>
      <rPr>
        <b val="true"/>
        <sz val="10"/>
        <rFont val="Arial"/>
        <family val="0"/>
        <charset val="1"/>
      </rPr>
      <t xml:space="preserve">3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=</t>
    </r>
    <r>
      <rPr>
        <sz val="10"/>
        <rFont val="Arial"/>
        <family val="0"/>
        <charset val="1"/>
      </rPr>
      <t xml:space="preserve"> — в журнале запись </t>
    </r>
    <r>
      <rPr>
        <b val="true"/>
        <sz val="10"/>
        <rFont val="Arial"/>
        <family val="0"/>
        <charset val="1"/>
      </rPr>
      <t xml:space="preserve">2 + 3 =</t>
    </r>
    <r>
      <rPr>
        <sz val="10"/>
        <rFont val="Arial"/>
        <family val="0"/>
        <charset val="1"/>
      </rPr>
      <t xml:space="preserve"> → </t>
    </r>
    <r>
      <rPr>
        <b val="true"/>
        <sz val="10"/>
        <rFont val="Arial"/>
        <family val="0"/>
        <charset val="1"/>
      </rPr>
      <t xml:space="preserve">5</t>
    </r>
    <r>
      <rPr>
        <sz val="10"/>
        <rFont val="Arial"/>
        <family val="0"/>
        <charset val="1"/>
      </rPr>
      <t xml:space="preserve">.
2. Набрать </t>
    </r>
    <r>
      <rPr>
        <b val="true"/>
        <sz val="10"/>
        <rFont val="Arial"/>
        <family val="0"/>
        <charset val="1"/>
      </rPr>
      <t xml:space="preserve">7</t>
    </r>
    <r>
      <rPr>
        <sz val="10"/>
        <rFont val="Arial"/>
        <family val="0"/>
        <charset val="1"/>
      </rPr>
      <t xml:space="preserve">, нажать </t>
    </r>
    <r>
      <rPr>
        <b val="true"/>
        <sz val="10"/>
        <rFont val="Arial"/>
        <family val="0"/>
        <charset val="1"/>
      </rPr>
      <t xml:space="preserve">MS</t>
    </r>
    <r>
      <rPr>
        <sz val="10"/>
        <rFont val="Arial"/>
        <family val="0"/>
        <charset val="1"/>
      </rPr>
      <t xml:space="preserve"> — на экране индикатор </t>
    </r>
    <r>
      <rPr>
        <b val="true"/>
        <sz val="10"/>
        <rFont val="Arial"/>
        <family val="0"/>
        <charset val="1"/>
      </rPr>
      <t xml:space="preserve">M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</si>
  <si>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1. Нажать </t>
    </r>
    <r>
      <rPr>
        <b val="true"/>
        <sz val="10"/>
        <rFont val="Arial"/>
        <family val="0"/>
        <charset val="1"/>
      </rPr>
      <t xml:space="preserve">C
</t>
    </r>
    <r>
      <rPr>
        <sz val="10"/>
        <rFont val="Arial"/>
        <family val="0"/>
        <charset val="1"/>
      </rPr>
      <t xml:space="preserve">2. Нажать </t>
    </r>
    <r>
      <rPr>
        <b val="true"/>
        <sz val="10"/>
        <rFont val="Arial"/>
        <family val="0"/>
        <charset val="1"/>
      </rPr>
      <t xml:space="preserve">MR</t>
    </r>
  </si>
  <si>
    <r>
      <rPr>
        <sz val="10"/>
        <rFont val="Arial"/>
        <family val="0"/>
        <charset val="1"/>
      </rPr>
      <t xml:space="preserve">1. Экран: </t>
    </r>
    <r>
      <rPr>
        <b val="true"/>
        <sz val="10"/>
        <rFont val="Arial"/>
        <family val="0"/>
        <charset val="1"/>
      </rPr>
      <t xml:space="preserve">0</t>
    </r>
    <r>
      <rPr>
        <sz val="10"/>
        <rFont val="Arial"/>
        <family val="0"/>
        <charset val="1"/>
      </rPr>
      <t xml:space="preserve">; выражение пустое; индикатор </t>
    </r>
    <r>
      <rPr>
        <b val="true"/>
        <sz val="10"/>
        <rFont val="Arial"/>
        <family val="0"/>
        <charset val="1"/>
      </rPr>
      <t xml:space="preserve">M</t>
    </r>
    <r>
      <rPr>
        <sz val="10"/>
        <rFont val="Arial"/>
        <family val="0"/>
        <charset val="1"/>
      </rPr>
      <t xml:space="preserve"> остался; в журнале по-прежнему запись </t>
    </r>
    <r>
      <rPr>
        <b val="true"/>
        <sz val="10"/>
        <rFont val="Arial"/>
        <family val="0"/>
        <charset val="1"/>
      </rPr>
      <t xml:space="preserve">2 + 3 =</t>
    </r>
    <r>
      <rPr>
        <sz val="10"/>
        <rFont val="Arial"/>
        <family val="0"/>
        <charset val="1"/>
      </rPr>
      <t xml:space="preserve"> → </t>
    </r>
    <r>
      <rPr>
        <b val="true"/>
        <sz val="10"/>
        <rFont val="Arial"/>
        <family val="0"/>
        <charset val="1"/>
      </rPr>
      <t xml:space="preserve">5
</t>
    </r>
    <r>
      <rPr>
        <sz val="10"/>
        <rFont val="Arial"/>
        <family val="0"/>
        <charset val="1"/>
      </rPr>
      <t xml:space="preserve">2. Экран: </t>
    </r>
    <r>
      <rPr>
        <b val="true"/>
        <sz val="10"/>
        <rFont val="Arial"/>
        <family val="0"/>
        <charset val="1"/>
      </rPr>
      <t xml:space="preserve">7</t>
    </r>
  </si>
  <si>
    <r>
      <rPr>
        <sz val="10"/>
        <rFont val="Arial"/>
        <family val="0"/>
        <charset val="1"/>
      </rPr>
      <t xml:space="preserve">В памяти </t>
    </r>
    <r>
      <rPr>
        <b val="true"/>
        <sz val="10"/>
        <rFont val="Arial"/>
        <family val="0"/>
        <charset val="1"/>
      </rPr>
      <t xml:space="preserve">7</t>
    </r>
    <r>
      <rPr>
        <sz val="10"/>
        <rFont val="Arial"/>
        <family val="0"/>
        <charset val="1"/>
      </rPr>
      <t xml:space="preserve">; в журнале одна запись.</t>
    </r>
  </si>
  <si>
    <t xml:space="preserve">Прогон тестов: калькулятор, JS-версия</t>
  </si>
  <si>
    <t xml:space="preserve">Параметры прогона</t>
  </si>
  <si>
    <t xml:space="preserve">Версия сборки</t>
  </si>
  <si>
    <t xml:space="preserve">из подвала страницы калькулятора, например 1.0.0</t>
  </si>
  <si>
    <t xml:space="preserve">Стенд</t>
  </si>
  <si>
    <t xml:space="preserve">https://calc.simdyanov.ru, http://localhost:5173 или http://localhost:8080</t>
  </si>
  <si>
    <t xml:space="preserve">Браузер и ОС</t>
  </si>
  <si>
    <t xml:space="preserve">например, Chrome 140, macOS 26</t>
  </si>
  <si>
    <t xml:space="preserve">Тестировщик</t>
  </si>
  <si>
    <t xml:space="preserve">Дата начала</t>
  </si>
  <si>
    <t xml:space="preserve">ДД.ММ.ГГГГ</t>
  </si>
  <si>
    <t xml:space="preserve">Дата окончания</t>
  </si>
  <si>
    <t xml:space="preserve">Итоги</t>
  </si>
  <si>
    <t xml:space="preserve">Всего кейсов</t>
  </si>
  <si>
    <t xml:space="preserve">включая кейсы с пустым статусом</t>
  </si>
  <si>
    <t xml:space="preserve">Выполнено</t>
  </si>
  <si>
    <t xml:space="preserve">доля кейсов со статусом «Пройден» или «Не пройден»</t>
  </si>
  <si>
    <t xml:space="preserve">Пройдено из выполненных</t>
  </si>
  <si>
    <t xml:space="preserve">«—», пока ни один кейс не выполнен</t>
  </si>
  <si>
    <t xml:space="preserve">По разделам</t>
  </si>
  <si>
    <t xml:space="preserve">Всего</t>
  </si>
  <si>
    <t xml:space="preserve">Итого</t>
  </si>
  <si>
    <t xml:space="preserve">По приоритетам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</si>
</sst>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BF8F00"/>
        <bgColor rgb="FF808000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843C0C"/>
      </font>
      <fill>
        <patternFill>
          <bgColor rgb="FFF8CBAD"/>
        </patternFill>
      </fill>
    </dxf>
    <dxf>
      <font>
        <name val="Arial"/>
        <charset val="1"/>
        <family val="0"/>
        <b val="1"/>
        <color rgb="FF404040"/>
      </font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C7CE"/>
      <rgbColor rgb="FFCC99FF"/>
      <rgbColor rgb="FFF8CBAD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843C0C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30" hidden="false" customHeight="true" outlineLevel="0" collapsed="false">
      <c r="A5" s="4" t="s">
        <v>3</v>
      </c>
      <c r="B5" s="5" t="s">
        <v>4</v>
      </c>
    </row>
    <row r="6" customFormat="false" ht="30" hidden="false" customHeight="true" outlineLevel="0" collapsed="false">
      <c r="A6" s="4" t="s">
        <v>5</v>
      </c>
      <c r="B6" s="5" t="s">
        <v>6</v>
      </c>
    </row>
    <row r="7" customFormat="false" ht="30" hidden="false" customHeight="true" outlineLevel="0" collapsed="false">
      <c r="A7" s="4" t="s">
        <v>7</v>
      </c>
      <c r="B7" s="5" t="s">
        <v>8</v>
      </c>
    </row>
    <row r="8" customFormat="false" ht="17.25" hidden="false" customHeight="true" outlineLevel="0" collapsed="false">
      <c r="A8" s="4" t="s">
        <v>9</v>
      </c>
      <c r="B8" s="5" t="s">
        <v>10</v>
      </c>
    </row>
    <row r="10" customFormat="false" ht="15" hidden="false" customHeight="false" outlineLevel="0" collapsed="false">
      <c r="A10" s="3" t="s">
        <v>11</v>
      </c>
    </row>
    <row r="11" customFormat="false" ht="15" hidden="false" customHeight="false" outlineLevel="0" collapsed="false">
      <c r="A11" s="6" t="s">
        <v>12</v>
      </c>
      <c r="B11" s="6" t="s">
        <v>13</v>
      </c>
    </row>
    <row r="12" customFormat="false" ht="17.25" hidden="false" customHeight="true" outlineLevel="0" collapsed="false">
      <c r="A12" s="4" t="s">
        <v>14</v>
      </c>
      <c r="B12" s="5" t="s">
        <v>15</v>
      </c>
    </row>
    <row r="13" customFormat="false" ht="17.25" hidden="false" customHeight="true" outlineLevel="0" collapsed="false">
      <c r="A13" s="4" t="s">
        <v>16</v>
      </c>
      <c r="B13" s="5" t="s">
        <v>17</v>
      </c>
    </row>
    <row r="14" customFormat="false" ht="30" hidden="false" customHeight="true" outlineLevel="0" collapsed="false">
      <c r="A14" s="4" t="s">
        <v>18</v>
      </c>
      <c r="B14" s="5" t="s">
        <v>19</v>
      </c>
    </row>
    <row r="15" customFormat="false" ht="30" hidden="false" customHeight="true" outlineLevel="0" collapsed="false">
      <c r="A15" s="4" t="s">
        <v>20</v>
      </c>
      <c r="B15" s="5" t="s">
        <v>21</v>
      </c>
    </row>
    <row r="16" customFormat="false" ht="30" hidden="false" customHeight="true" outlineLevel="0" collapsed="false">
      <c r="A16" s="4" t="s">
        <v>22</v>
      </c>
      <c r="B16" s="5" t="s">
        <v>23</v>
      </c>
    </row>
    <row r="18" customFormat="false" ht="15" hidden="false" customHeight="false" outlineLevel="0" collapsed="false">
      <c r="A18" s="3" t="s">
        <v>24</v>
      </c>
    </row>
    <row r="19" customFormat="false" ht="17.25" hidden="false" customHeight="true" outlineLevel="0" collapsed="false">
      <c r="A19" s="4" t="s">
        <v>25</v>
      </c>
      <c r="B19" s="5" t="s">
        <v>26</v>
      </c>
    </row>
    <row r="20" customFormat="false" ht="17.25" hidden="false" customHeight="true" outlineLevel="0" collapsed="false">
      <c r="A20" s="4" t="s">
        <v>27</v>
      </c>
      <c r="B20" s="5" t="s">
        <v>28</v>
      </c>
    </row>
    <row r="21" customFormat="false" ht="17.25" hidden="false" customHeight="true" outlineLevel="0" collapsed="false">
      <c r="A21" s="4" t="s">
        <v>29</v>
      </c>
      <c r="B21" s="5" t="s">
        <v>30</v>
      </c>
    </row>
    <row r="23" customFormat="false" ht="15" hidden="false" customHeight="false" outlineLevel="0" collapsed="false">
      <c r="A23" s="3" t="s">
        <v>31</v>
      </c>
    </row>
    <row r="24" customFormat="false" ht="42.75" hidden="false" customHeight="true" outlineLevel="0" collapsed="false">
      <c r="A24" s="4" t="s">
        <v>32</v>
      </c>
      <c r="B24" s="5" t="s">
        <v>33</v>
      </c>
    </row>
    <row r="25" customFormat="false" ht="30" hidden="false" customHeight="true" outlineLevel="0" collapsed="false">
      <c r="A25" s="4" t="s">
        <v>34</v>
      </c>
      <c r="B25" s="5" t="s">
        <v>35</v>
      </c>
    </row>
    <row r="26" customFormat="false" ht="42.75" hidden="false" customHeight="true" outlineLevel="0" collapsed="false">
      <c r="A26" s="4" t="s">
        <v>36</v>
      </c>
      <c r="B26" s="5" t="s">
        <v>37</v>
      </c>
    </row>
    <row r="28" customFormat="false" ht="15" hidden="false" customHeight="false" outlineLevel="0" collapsed="false">
      <c r="A28" s="3" t="s">
        <v>38</v>
      </c>
    </row>
    <row r="29" customFormat="false" ht="17.25" hidden="false" customHeight="true" outlineLevel="0" collapsed="false">
      <c r="A29" s="4" t="s">
        <v>39</v>
      </c>
      <c r="B29" s="5" t="s">
        <v>40</v>
      </c>
    </row>
    <row r="30" customFormat="false" ht="17.25" hidden="false" customHeight="true" outlineLevel="0" collapsed="false">
      <c r="A30" s="4" t="s">
        <v>41</v>
      </c>
      <c r="B30" s="5" t="s">
        <v>42</v>
      </c>
    </row>
    <row r="31" customFormat="false" ht="17.25" hidden="false" customHeight="true" outlineLevel="0" collapsed="false">
      <c r="A31" s="4" t="s">
        <v>43</v>
      </c>
      <c r="B31" s="5" t="s">
        <v>44</v>
      </c>
    </row>
    <row r="32" customFormat="false" ht="30" hidden="false" customHeight="true" outlineLevel="0" collapsed="false">
      <c r="A32" s="4" t="s">
        <v>45</v>
      </c>
      <c r="B32" s="5" t="s">
        <v>46</v>
      </c>
    </row>
    <row r="33" customFormat="false" ht="17.25" hidden="false" customHeight="true" outlineLevel="0" collapsed="false">
      <c r="A33" s="4" t="s">
        <v>45</v>
      </c>
      <c r="B33" s="5" t="s">
        <v>47</v>
      </c>
    </row>
    <row r="34" customFormat="false" ht="30" hidden="false" customHeight="true" outlineLevel="0" collapsed="false">
      <c r="A34" s="4" t="s">
        <v>45</v>
      </c>
      <c r="B34" s="5" t="s">
        <v>48</v>
      </c>
    </row>
    <row r="35" customFormat="false" ht="17.25" hidden="false" customHeight="true" outlineLevel="0" collapsed="false">
      <c r="A35" s="4" t="s">
        <v>45</v>
      </c>
      <c r="B35" s="5" t="s">
        <v>49</v>
      </c>
    </row>
    <row r="36" customFormat="false" ht="17.25" hidden="false" customHeight="true" outlineLevel="0" collapsed="false">
      <c r="A36" s="4" t="s">
        <v>50</v>
      </c>
      <c r="B36" s="5" t="s">
        <v>51</v>
      </c>
    </row>
    <row r="38" customFormat="false" ht="15" hidden="false" customHeight="false" outlineLevel="0" collapsed="false">
      <c r="A38" s="3" t="s">
        <v>52</v>
      </c>
    </row>
    <row r="39" customFormat="false" ht="17.25" hidden="false" customHeight="true" outlineLevel="0" collapsed="false">
      <c r="A39" s="4" t="s">
        <v>53</v>
      </c>
      <c r="B39" s="5" t="s">
        <v>54</v>
      </c>
    </row>
    <row r="40" customFormat="false" ht="17.25" hidden="false" customHeight="true" outlineLevel="0" collapsed="false">
      <c r="A40" s="4" t="s">
        <v>12</v>
      </c>
      <c r="B40" s="5" t="s">
        <v>16</v>
      </c>
    </row>
    <row r="41" customFormat="false" ht="17.25" hidden="false" customHeight="true" outlineLevel="0" collapsed="false">
      <c r="A41" s="4" t="s">
        <v>55</v>
      </c>
      <c r="B41" s="5" t="s">
        <v>56</v>
      </c>
    </row>
    <row r="43" customFormat="false" ht="15" hidden="false" customHeight="false" outlineLevel="0" collapsed="false">
      <c r="A43" s="3" t="s">
        <v>57</v>
      </c>
    </row>
    <row r="44" customFormat="false" ht="17.25" hidden="false" customHeight="true" outlineLevel="0" collapsed="false">
      <c r="A44" s="4" t="s">
        <v>53</v>
      </c>
      <c r="B44" s="5" t="s">
        <v>58</v>
      </c>
    </row>
    <row r="45" customFormat="false" ht="17.25" hidden="false" customHeight="true" outlineLevel="0" collapsed="false">
      <c r="A45" s="4" t="s">
        <v>12</v>
      </c>
      <c r="B45" s="5" t="s">
        <v>18</v>
      </c>
    </row>
    <row r="46" customFormat="false" ht="17.25" hidden="false" customHeight="true" outlineLevel="0" collapsed="false">
      <c r="A46" s="4" t="s">
        <v>55</v>
      </c>
      <c r="B46" s="5" t="s">
        <v>59</v>
      </c>
    </row>
    <row r="47" customFormat="false" ht="17.25" hidden="false" customHeight="true" outlineLevel="0" collapsed="false">
      <c r="A47" s="4" t="s">
        <v>60</v>
      </c>
      <c r="B47" s="5" t="s">
        <v>61</v>
      </c>
    </row>
    <row r="48" customFormat="false" ht="17.25" hidden="false" customHeight="true" outlineLevel="0" collapsed="false">
      <c r="A48" s="4" t="s">
        <v>62</v>
      </c>
      <c r="B48" s="5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24"/>
    <col collapsed="false" customWidth="true" hidden="false" outlineLevel="0" max="6" min="6" style="0" width="36"/>
    <col collapsed="false" customWidth="true" hidden="false" outlineLevel="0" max="7" min="7" style="0" width="46"/>
    <col collapsed="false" customWidth="true" hidden="false" outlineLevel="0" max="8" min="8" style="0" width="46.1"/>
    <col collapsed="false" customWidth="true" hidden="false" outlineLevel="0" max="9" min="9" style="0" width="34"/>
    <col collapsed="false" customWidth="true" hidden="false" outlineLevel="0" max="10" min="10" style="0" width="15"/>
    <col collapsed="false" customWidth="true" hidden="false" outlineLevel="0" max="11" min="11" style="0" width="36"/>
    <col collapsed="false" customWidth="true" hidden="false" outlineLevel="0" max="12" min="12" style="0" width="14"/>
    <col collapsed="false" customWidth="true" hidden="false" outlineLevel="0" max="13" min="13" style="0" width="28"/>
  </cols>
  <sheetData>
    <row r="1" customFormat="false" ht="30" hidden="false" customHeight="true" outlineLevel="0" collapsed="false">
      <c r="A1" s="7" t="s">
        <v>53</v>
      </c>
      <c r="B1" s="7" t="s">
        <v>64</v>
      </c>
      <c r="C1" s="7" t="s">
        <v>65</v>
      </c>
      <c r="D1" s="7" t="s">
        <v>66</v>
      </c>
      <c r="E1" s="7" t="s">
        <v>67</v>
      </c>
      <c r="F1" s="7" t="s">
        <v>68</v>
      </c>
      <c r="G1" s="7" t="s">
        <v>69</v>
      </c>
      <c r="H1" s="7" t="s">
        <v>70</v>
      </c>
      <c r="I1" s="7" t="s">
        <v>71</v>
      </c>
      <c r="J1" s="8" t="s">
        <v>12</v>
      </c>
      <c r="K1" s="8" t="s">
        <v>55</v>
      </c>
      <c r="L1" s="8" t="s">
        <v>60</v>
      </c>
      <c r="M1" s="8" t="s">
        <v>62</v>
      </c>
    </row>
    <row r="2" customFormat="false" ht="81" hidden="false" customHeight="true" outlineLevel="0" collapsed="false">
      <c r="A2" s="4" t="s">
        <v>54</v>
      </c>
      <c r="B2" s="5" t="s">
        <v>72</v>
      </c>
      <c r="C2" s="5" t="s">
        <v>73</v>
      </c>
      <c r="D2" s="9" t="s">
        <v>25</v>
      </c>
      <c r="E2" s="5" t="s">
        <v>74</v>
      </c>
      <c r="F2" s="5" t="s">
        <v>75</v>
      </c>
      <c r="G2" s="5" t="s">
        <v>76</v>
      </c>
      <c r="H2" s="5" t="s">
        <v>77</v>
      </c>
      <c r="I2" s="5" t="s">
        <v>78</v>
      </c>
      <c r="J2" s="10" t="s">
        <v>14</v>
      </c>
      <c r="K2" s="11"/>
      <c r="L2" s="11"/>
      <c r="M2" s="11"/>
    </row>
    <row r="3" customFormat="false" ht="30" hidden="false" customHeight="true" outlineLevel="0" collapsed="false">
      <c r="A3" s="4" t="s">
        <v>79</v>
      </c>
      <c r="B3" s="5" t="s">
        <v>80</v>
      </c>
      <c r="C3" s="5" t="s">
        <v>81</v>
      </c>
      <c r="D3" s="9" t="s">
        <v>25</v>
      </c>
      <c r="E3" s="5" t="s">
        <v>82</v>
      </c>
      <c r="F3" s="5" t="s">
        <v>83</v>
      </c>
      <c r="G3" s="5" t="s">
        <v>84</v>
      </c>
      <c r="H3" s="5" t="s">
        <v>85</v>
      </c>
      <c r="I3" s="5" t="s">
        <v>86</v>
      </c>
      <c r="J3" s="10" t="s">
        <v>14</v>
      </c>
      <c r="K3" s="11"/>
      <c r="L3" s="11"/>
      <c r="M3" s="11"/>
    </row>
    <row r="4" customFormat="false" ht="30" hidden="false" customHeight="true" outlineLevel="0" collapsed="false">
      <c r="A4" s="4" t="s">
        <v>58</v>
      </c>
      <c r="B4" s="5" t="s">
        <v>87</v>
      </c>
      <c r="C4" s="5" t="s">
        <v>81</v>
      </c>
      <c r="D4" s="9" t="s">
        <v>27</v>
      </c>
      <c r="E4" s="5" t="s">
        <v>82</v>
      </c>
      <c r="F4" s="5" t="s">
        <v>83</v>
      </c>
      <c r="G4" s="5" t="s">
        <v>88</v>
      </c>
      <c r="H4" s="5" t="s">
        <v>89</v>
      </c>
      <c r="I4" s="5" t="s">
        <v>90</v>
      </c>
      <c r="J4" s="10" t="s">
        <v>14</v>
      </c>
      <c r="K4" s="11"/>
      <c r="L4" s="11"/>
      <c r="M4" s="11"/>
    </row>
    <row r="5" customFormat="false" ht="42.75" hidden="false" customHeight="true" outlineLevel="0" collapsed="false">
      <c r="A5" s="4" t="s">
        <v>91</v>
      </c>
      <c r="B5" s="5" t="s">
        <v>92</v>
      </c>
      <c r="C5" s="5" t="s">
        <v>81</v>
      </c>
      <c r="D5" s="9" t="s">
        <v>25</v>
      </c>
      <c r="E5" s="5" t="s">
        <v>82</v>
      </c>
      <c r="F5" s="5" t="s">
        <v>83</v>
      </c>
      <c r="G5" s="5" t="s">
        <v>93</v>
      </c>
      <c r="H5" s="5" t="s">
        <v>94</v>
      </c>
      <c r="I5" s="5" t="s">
        <v>95</v>
      </c>
      <c r="J5" s="10" t="s">
        <v>14</v>
      </c>
      <c r="K5" s="11"/>
      <c r="L5" s="11"/>
      <c r="M5" s="11"/>
    </row>
    <row r="6" customFormat="false" ht="30" hidden="false" customHeight="true" outlineLevel="0" collapsed="false">
      <c r="A6" s="4" t="s">
        <v>96</v>
      </c>
      <c r="B6" s="5" t="s">
        <v>97</v>
      </c>
      <c r="C6" s="5" t="s">
        <v>81</v>
      </c>
      <c r="D6" s="9" t="s">
        <v>27</v>
      </c>
      <c r="E6" s="5" t="s">
        <v>82</v>
      </c>
      <c r="F6" s="5" t="s">
        <v>83</v>
      </c>
      <c r="G6" s="5" t="s">
        <v>98</v>
      </c>
      <c r="H6" s="5" t="s">
        <v>99</v>
      </c>
      <c r="I6" s="5" t="s">
        <v>100</v>
      </c>
      <c r="J6" s="10" t="s">
        <v>14</v>
      </c>
      <c r="K6" s="11"/>
      <c r="L6" s="11"/>
      <c r="M6" s="11"/>
    </row>
    <row r="7" customFormat="false" ht="42.75" hidden="false" customHeight="true" outlineLevel="0" collapsed="false">
      <c r="A7" s="4" t="s">
        <v>101</v>
      </c>
      <c r="B7" s="5" t="s">
        <v>102</v>
      </c>
      <c r="C7" s="5" t="s">
        <v>81</v>
      </c>
      <c r="D7" s="9" t="s">
        <v>27</v>
      </c>
      <c r="E7" s="5" t="s">
        <v>82</v>
      </c>
      <c r="F7" s="5" t="s">
        <v>83</v>
      </c>
      <c r="G7" s="5" t="s">
        <v>103</v>
      </c>
      <c r="H7" s="5" t="s">
        <v>104</v>
      </c>
      <c r="I7" s="5" t="s">
        <v>105</v>
      </c>
      <c r="J7" s="10" t="s">
        <v>14</v>
      </c>
      <c r="K7" s="11"/>
      <c r="L7" s="11"/>
      <c r="M7" s="11"/>
    </row>
    <row r="8" customFormat="false" ht="42.75" hidden="false" customHeight="true" outlineLevel="0" collapsed="false">
      <c r="A8" s="4" t="s">
        <v>106</v>
      </c>
      <c r="B8" s="5" t="s">
        <v>107</v>
      </c>
      <c r="C8" s="5" t="s">
        <v>81</v>
      </c>
      <c r="D8" s="9" t="s">
        <v>27</v>
      </c>
      <c r="E8" s="5" t="s">
        <v>82</v>
      </c>
      <c r="F8" s="5" t="s">
        <v>83</v>
      </c>
      <c r="G8" s="5" t="s">
        <v>108</v>
      </c>
      <c r="H8" s="5" t="s">
        <v>109</v>
      </c>
      <c r="I8" s="5" t="s">
        <v>110</v>
      </c>
      <c r="J8" s="10" t="s">
        <v>14</v>
      </c>
      <c r="K8" s="11"/>
      <c r="L8" s="11"/>
      <c r="M8" s="11"/>
    </row>
    <row r="9" customFormat="false" ht="30" hidden="false" customHeight="true" outlineLevel="0" collapsed="false">
      <c r="A9" s="4" t="s">
        <v>111</v>
      </c>
      <c r="B9" s="5" t="s">
        <v>112</v>
      </c>
      <c r="C9" s="5" t="s">
        <v>81</v>
      </c>
      <c r="D9" s="9" t="s">
        <v>29</v>
      </c>
      <c r="E9" s="5" t="s">
        <v>82</v>
      </c>
      <c r="F9" s="5" t="s">
        <v>83</v>
      </c>
      <c r="G9" s="5" t="s">
        <v>113</v>
      </c>
      <c r="H9" s="5" t="s">
        <v>114</v>
      </c>
      <c r="I9" s="5" t="s">
        <v>115</v>
      </c>
      <c r="J9" s="10" t="s">
        <v>14</v>
      </c>
      <c r="K9" s="11"/>
      <c r="L9" s="11"/>
      <c r="M9" s="11"/>
    </row>
    <row r="10" customFormat="false" ht="55.5" hidden="false" customHeight="true" outlineLevel="0" collapsed="false">
      <c r="A10" s="4" t="s">
        <v>116</v>
      </c>
      <c r="B10" s="5" t="s">
        <v>117</v>
      </c>
      <c r="C10" s="5" t="s">
        <v>81</v>
      </c>
      <c r="D10" s="9" t="s">
        <v>27</v>
      </c>
      <c r="E10" s="5" t="s">
        <v>82</v>
      </c>
      <c r="F10" s="5" t="s">
        <v>83</v>
      </c>
      <c r="G10" s="5" t="s">
        <v>118</v>
      </c>
      <c r="H10" s="5" t="s">
        <v>119</v>
      </c>
      <c r="I10" s="5" t="s">
        <v>120</v>
      </c>
      <c r="J10" s="10" t="s">
        <v>14</v>
      </c>
      <c r="K10" s="11"/>
      <c r="L10" s="11"/>
      <c r="M10" s="11"/>
    </row>
    <row r="11" customFormat="false" ht="42.75" hidden="false" customHeight="true" outlineLevel="0" collapsed="false">
      <c r="A11" s="4" t="s">
        <v>121</v>
      </c>
      <c r="B11" s="5" t="s">
        <v>122</v>
      </c>
      <c r="C11" s="5" t="s">
        <v>81</v>
      </c>
      <c r="D11" s="9" t="s">
        <v>27</v>
      </c>
      <c r="E11" s="5" t="s">
        <v>123</v>
      </c>
      <c r="F11" s="5" t="s">
        <v>83</v>
      </c>
      <c r="G11" s="5" t="s">
        <v>124</v>
      </c>
      <c r="H11" s="5" t="s">
        <v>125</v>
      </c>
      <c r="I11" s="5" t="s">
        <v>126</v>
      </c>
      <c r="J11" s="10" t="s">
        <v>14</v>
      </c>
      <c r="K11" s="11"/>
      <c r="L11" s="11"/>
      <c r="M11" s="11"/>
    </row>
    <row r="12" customFormat="false" ht="81" hidden="false" customHeight="true" outlineLevel="0" collapsed="false">
      <c r="A12" s="4" t="s">
        <v>127</v>
      </c>
      <c r="B12" s="5" t="s">
        <v>128</v>
      </c>
      <c r="C12" s="5" t="s">
        <v>81</v>
      </c>
      <c r="D12" s="9" t="s">
        <v>27</v>
      </c>
      <c r="E12" s="5" t="s">
        <v>129</v>
      </c>
      <c r="F12" s="5" t="s">
        <v>83</v>
      </c>
      <c r="G12" s="5" t="s">
        <v>130</v>
      </c>
      <c r="H12" s="5" t="s">
        <v>131</v>
      </c>
      <c r="I12" s="5" t="s">
        <v>132</v>
      </c>
      <c r="J12" s="10" t="s">
        <v>14</v>
      </c>
      <c r="K12" s="11"/>
      <c r="L12" s="11"/>
      <c r="M12" s="11"/>
    </row>
    <row r="13" customFormat="false" ht="30" hidden="false" customHeight="true" outlineLevel="0" collapsed="false">
      <c r="A13" s="4" t="s">
        <v>133</v>
      </c>
      <c r="B13" s="4" t="s">
        <v>134</v>
      </c>
      <c r="C13" s="5" t="s">
        <v>81</v>
      </c>
      <c r="D13" s="9" t="s">
        <v>29</v>
      </c>
      <c r="E13" s="5" t="s">
        <v>135</v>
      </c>
      <c r="F13" s="5" t="s">
        <v>83</v>
      </c>
      <c r="G13" s="5" t="s">
        <v>136</v>
      </c>
      <c r="H13" s="5" t="s">
        <v>137</v>
      </c>
      <c r="I13" s="5" t="s">
        <v>138</v>
      </c>
      <c r="J13" s="10" t="s">
        <v>14</v>
      </c>
      <c r="K13" s="11"/>
      <c r="L13" s="11"/>
      <c r="M13" s="11"/>
    </row>
    <row r="14" customFormat="false" ht="42.75" hidden="false" customHeight="true" outlineLevel="0" collapsed="false">
      <c r="A14" s="4" t="s">
        <v>139</v>
      </c>
      <c r="B14" s="4" t="s">
        <v>140</v>
      </c>
      <c r="C14" s="5" t="s">
        <v>81</v>
      </c>
      <c r="D14" s="9" t="s">
        <v>25</v>
      </c>
      <c r="E14" s="5" t="s">
        <v>141</v>
      </c>
      <c r="F14" s="5" t="s">
        <v>83</v>
      </c>
      <c r="G14" s="5" t="s">
        <v>142</v>
      </c>
      <c r="H14" s="5" t="s">
        <v>143</v>
      </c>
      <c r="I14" s="5" t="s">
        <v>144</v>
      </c>
      <c r="J14" s="10" t="s">
        <v>14</v>
      </c>
      <c r="K14" s="11"/>
      <c r="L14" s="11"/>
      <c r="M14" s="11"/>
    </row>
    <row r="15" customFormat="false" ht="42.75" hidden="false" customHeight="true" outlineLevel="0" collapsed="false">
      <c r="A15" s="4" t="s">
        <v>145</v>
      </c>
      <c r="B15" s="4" t="s">
        <v>146</v>
      </c>
      <c r="C15" s="5" t="s">
        <v>81</v>
      </c>
      <c r="D15" s="9" t="s">
        <v>25</v>
      </c>
      <c r="E15" s="5" t="s">
        <v>147</v>
      </c>
      <c r="F15" s="5" t="s">
        <v>83</v>
      </c>
      <c r="G15" s="5" t="s">
        <v>148</v>
      </c>
      <c r="H15" s="5" t="s">
        <v>149</v>
      </c>
      <c r="I15" s="5" t="s">
        <v>150</v>
      </c>
      <c r="J15" s="10" t="s">
        <v>14</v>
      </c>
      <c r="K15" s="11"/>
      <c r="L15" s="11"/>
      <c r="M15" s="11"/>
    </row>
    <row r="16" customFormat="false" ht="81" hidden="false" customHeight="true" outlineLevel="0" collapsed="false">
      <c r="A16" s="4" t="s">
        <v>151</v>
      </c>
      <c r="B16" s="4" t="s">
        <v>152</v>
      </c>
      <c r="C16" s="5" t="s">
        <v>81</v>
      </c>
      <c r="D16" s="9" t="s">
        <v>27</v>
      </c>
      <c r="E16" s="5" t="s">
        <v>147</v>
      </c>
      <c r="F16" s="5" t="s">
        <v>153</v>
      </c>
      <c r="G16" s="5" t="s">
        <v>154</v>
      </c>
      <c r="H16" s="5" t="s">
        <v>155</v>
      </c>
      <c r="I16" s="5" t="s">
        <v>156</v>
      </c>
      <c r="J16" s="10" t="s">
        <v>14</v>
      </c>
      <c r="K16" s="11"/>
      <c r="L16" s="11"/>
      <c r="M16" s="11"/>
    </row>
  </sheetData>
  <autoFilter ref="A1:M16"/>
  <conditionalFormatting sqref="J2:J500">
    <cfRule type="expression" priority="2" aboveAverage="0" equalAverage="0" bottom="0" percent="0" rank="0" text="" dxfId="5">
      <formula>$J2="Пройден"</formula>
    </cfRule>
    <cfRule type="expression" priority="3" aboveAverage="0" equalAverage="0" bottom="0" percent="0" rank="0" text="" dxfId="6">
      <formula>$J2="Не пройден"</formula>
    </cfRule>
    <cfRule type="expression" priority="4" aboveAverage="0" equalAverage="0" bottom="0" percent="0" rank="0" text="" dxfId="7">
      <formula>$J2="Заблокирован"</formula>
    </cfRule>
    <cfRule type="expression" priority="5" aboveAverage="0" equalAverage="0" bottom="0" percent="0" rank="0" text="" dxfId="8">
      <formula>$J2="Пропущен"</formula>
    </cfRule>
  </conditionalFormatting>
  <dataValidations count="1">
    <dataValidation allowBlank="true" error="Выберите статус из списка" errorStyle="stop" errorTitle="Статус" operator="between" prompt="Выберите статус кейса" promptTitle="Статус" showDropDown="false" showErrorMessage="true" showInputMessage="true" sqref="J2:J500" type="list">
      <formula1>"Не выполнялся,Пройден,Не пройден,Заблокирован,Пропущен"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3" min="3" style="0" width="15.1"/>
    <col collapsed="false" customWidth="true" hidden="false" outlineLevel="0" max="4" min="4" style="0" width="15"/>
    <col collapsed="false" customWidth="true" hidden="false" outlineLevel="0" max="5" min="5" style="0" width="15.1"/>
    <col collapsed="false" customWidth="true" hidden="false" outlineLevel="0" max="6" min="6" style="0" width="15"/>
    <col collapsed="false" customWidth="true" hidden="false" outlineLevel="0" max="7" min="7" style="0" width="15.1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157</v>
      </c>
    </row>
    <row r="3" customFormat="false" ht="15" hidden="false" customHeight="false" outlineLevel="0" collapsed="false">
      <c r="A3" s="3" t="s">
        <v>158</v>
      </c>
    </row>
    <row r="4" customFormat="false" ht="15" hidden="false" customHeight="false" outlineLevel="0" collapsed="false">
      <c r="A4" s="12" t="s">
        <v>159</v>
      </c>
      <c r="B4" s="13"/>
      <c r="C4" s="13"/>
      <c r="D4" s="13"/>
      <c r="E4" s="14" t="s">
        <v>160</v>
      </c>
    </row>
    <row r="5" customFormat="false" ht="15" hidden="false" customHeight="false" outlineLevel="0" collapsed="false">
      <c r="A5" s="12" t="s">
        <v>161</v>
      </c>
      <c r="B5" s="13"/>
      <c r="C5" s="13"/>
      <c r="D5" s="13"/>
      <c r="E5" s="14" t="s">
        <v>162</v>
      </c>
    </row>
    <row r="6" customFormat="false" ht="15" hidden="false" customHeight="false" outlineLevel="0" collapsed="false">
      <c r="A6" s="12" t="s">
        <v>163</v>
      </c>
      <c r="B6" s="13"/>
      <c r="C6" s="13"/>
      <c r="D6" s="13"/>
      <c r="E6" s="14" t="s">
        <v>164</v>
      </c>
    </row>
    <row r="7" customFormat="false" ht="15" hidden="false" customHeight="false" outlineLevel="0" collapsed="false">
      <c r="A7" s="12" t="s">
        <v>165</v>
      </c>
      <c r="B7" s="13"/>
      <c r="C7" s="13"/>
      <c r="D7" s="13"/>
    </row>
    <row r="8" customFormat="false" ht="15" hidden="false" customHeight="false" outlineLevel="0" collapsed="false">
      <c r="A8" s="12" t="s">
        <v>166</v>
      </c>
      <c r="B8" s="13"/>
      <c r="C8" s="13"/>
      <c r="D8" s="13"/>
      <c r="E8" s="14" t="s">
        <v>167</v>
      </c>
    </row>
    <row r="9" customFormat="false" ht="15" hidden="false" customHeight="false" outlineLevel="0" collapsed="false">
      <c r="A9" s="12" t="s">
        <v>168</v>
      </c>
      <c r="B9" s="13"/>
      <c r="C9" s="13"/>
      <c r="D9" s="13"/>
      <c r="E9" s="14" t="s">
        <v>167</v>
      </c>
    </row>
    <row r="11" customFormat="false" ht="15" hidden="false" customHeight="false" outlineLevel="0" collapsed="false">
      <c r="A11" s="3" t="s">
        <v>169</v>
      </c>
    </row>
    <row r="12" customFormat="false" ht="15" hidden="false" customHeight="false" outlineLevel="0" collapsed="false">
      <c r="A12" s="12" t="s">
        <v>170</v>
      </c>
      <c r="B12" s="15" t="n">
        <f aca="false">COUNTA(Прогон!$A$2:$A$500)</f>
        <v>15</v>
      </c>
    </row>
    <row r="13" customFormat="false" ht="15" hidden="false" customHeight="false" outlineLevel="0" collapsed="false">
      <c r="A13" s="16" t="s">
        <v>16</v>
      </c>
      <c r="B13" s="17" t="n">
        <f aca="false">COUNTIF(Прогон!$J$2:$J$500,"Пройден")</f>
        <v>0</v>
      </c>
    </row>
    <row r="14" customFormat="false" ht="15" hidden="false" customHeight="false" outlineLevel="0" collapsed="false">
      <c r="A14" s="16" t="s">
        <v>18</v>
      </c>
      <c r="B14" s="17" t="n">
        <f aca="false">COUNTIF(Прогон!$J$2:$J$500,"Не пройден")</f>
        <v>0</v>
      </c>
    </row>
    <row r="15" customFormat="false" ht="15" hidden="false" customHeight="false" outlineLevel="0" collapsed="false">
      <c r="A15" s="16" t="s">
        <v>20</v>
      </c>
      <c r="B15" s="17" t="n">
        <f aca="false">COUNTIF(Прогон!$J$2:$J$500,"Заблокирован")</f>
        <v>0</v>
      </c>
    </row>
    <row r="16" customFormat="false" ht="15" hidden="false" customHeight="false" outlineLevel="0" collapsed="false">
      <c r="A16" s="16" t="s">
        <v>22</v>
      </c>
      <c r="B16" s="17" t="n">
        <f aca="false">COUNTIF(Прогон!$J$2:$J$500,"Пропущен")</f>
        <v>0</v>
      </c>
    </row>
    <row r="17" customFormat="false" ht="15" hidden="false" customHeight="false" outlineLevel="0" collapsed="false">
      <c r="A17" s="16" t="s">
        <v>14</v>
      </c>
      <c r="B17" s="17" t="n">
        <f aca="false">B12-SUM(B13:B16)</f>
        <v>15</v>
      </c>
      <c r="C17" s="14" t="s">
        <v>171</v>
      </c>
    </row>
    <row r="18" customFormat="false" ht="15" hidden="false" customHeight="false" outlineLevel="0" collapsed="false">
      <c r="A18" s="16" t="s">
        <v>172</v>
      </c>
      <c r="B18" s="18" t="n">
        <f aca="false">IF(B12=0,0,(B13+B14)/B12)</f>
        <v>0</v>
      </c>
      <c r="C18" s="14" t="s">
        <v>173</v>
      </c>
    </row>
    <row r="19" customFormat="false" ht="15" hidden="false" customHeight="false" outlineLevel="0" collapsed="false">
      <c r="A19" s="16" t="s">
        <v>174</v>
      </c>
      <c r="B19" s="18" t="str">
        <f aca="false">IF(B13+B14=0,"—",B13/(B13+B14))</f>
        <v>—</v>
      </c>
      <c r="C19" s="14" t="s">
        <v>175</v>
      </c>
    </row>
    <row r="21" customFormat="false" ht="15" hidden="false" customHeight="false" outlineLevel="0" collapsed="false">
      <c r="A21" s="3" t="s">
        <v>176</v>
      </c>
    </row>
    <row r="22" customFormat="false" ht="27.75" hidden="false" customHeight="true" outlineLevel="0" collapsed="false">
      <c r="A22" s="19" t="s">
        <v>65</v>
      </c>
      <c r="B22" s="7" t="s">
        <v>177</v>
      </c>
      <c r="C22" s="7" t="s">
        <v>16</v>
      </c>
      <c r="D22" s="7" t="s">
        <v>18</v>
      </c>
      <c r="E22" s="7" t="s">
        <v>20</v>
      </c>
      <c r="F22" s="7" t="s">
        <v>22</v>
      </c>
      <c r="G22" s="7" t="s">
        <v>14</v>
      </c>
    </row>
    <row r="23" customFormat="false" ht="15" hidden="false" customHeight="false" outlineLevel="0" collapsed="false">
      <c r="A23" s="16" t="s">
        <v>73</v>
      </c>
      <c r="B23" s="17" t="n">
        <f aca="false">COUNTIF(Прогон!$C$2:$C$500,$A23)</f>
        <v>1</v>
      </c>
      <c r="C23" s="17" t="n">
        <f aca="false">COUNTIFS(Прогон!$C$2:$C$500,$A23,Прогон!$J$2:$J$500,C$22)</f>
        <v>0</v>
      </c>
      <c r="D23" s="17" t="n">
        <f aca="false">COUNTIFS(Прогон!$C$2:$C$500,$A23,Прогон!$J$2:$J$500,D$22)</f>
        <v>0</v>
      </c>
      <c r="E23" s="17" t="n">
        <f aca="false">COUNTIFS(Прогон!$C$2:$C$500,$A23,Прогон!$J$2:$J$500,E$22)</f>
        <v>0</v>
      </c>
      <c r="F23" s="17" t="n">
        <f aca="false">COUNTIFS(Прогон!$C$2:$C$500,$A23,Прогон!$J$2:$J$500,F$22)</f>
        <v>0</v>
      </c>
      <c r="G23" s="17" t="n">
        <f aca="false">B23-SUM(C23:F23)</f>
        <v>1</v>
      </c>
    </row>
    <row r="24" customFormat="false" ht="15" hidden="false" customHeight="false" outlineLevel="0" collapsed="false">
      <c r="A24" s="16" t="s">
        <v>81</v>
      </c>
      <c r="B24" s="17" t="n">
        <f aca="false">COUNTIF(Прогон!$C$2:$C$500,$A24)</f>
        <v>14</v>
      </c>
      <c r="C24" s="17" t="n">
        <f aca="false">COUNTIFS(Прогон!$C$2:$C$500,$A24,Прогон!$J$2:$J$500,C$22)</f>
        <v>0</v>
      </c>
      <c r="D24" s="17" t="n">
        <f aca="false">COUNTIFS(Прогон!$C$2:$C$500,$A24,Прогон!$J$2:$J$500,D$22)</f>
        <v>0</v>
      </c>
      <c r="E24" s="17" t="n">
        <f aca="false">COUNTIFS(Прогон!$C$2:$C$500,$A24,Прогон!$J$2:$J$500,E$22)</f>
        <v>0</v>
      </c>
      <c r="F24" s="17" t="n">
        <f aca="false">COUNTIFS(Прогон!$C$2:$C$500,$A24,Прогон!$J$2:$J$500,F$22)</f>
        <v>0</v>
      </c>
      <c r="G24" s="17" t="n">
        <f aca="false">B24-SUM(C24:F24)</f>
        <v>14</v>
      </c>
    </row>
    <row r="25" customFormat="false" ht="15" hidden="false" customHeight="false" outlineLevel="0" collapsed="false">
      <c r="A25" s="20" t="s">
        <v>178</v>
      </c>
      <c r="B25" s="21" t="n">
        <f aca="false">SUM(B23:B24)</f>
        <v>15</v>
      </c>
      <c r="C25" s="21" t="n">
        <f aca="false">SUM(C23:C24)</f>
        <v>0</v>
      </c>
      <c r="D25" s="21" t="n">
        <f aca="false">SUM(D23:D24)</f>
        <v>0</v>
      </c>
      <c r="E25" s="21" t="n">
        <f aca="false">SUM(E23:E24)</f>
        <v>0</v>
      </c>
      <c r="F25" s="21" t="n">
        <f aca="false">SUM(F23:F24)</f>
        <v>0</v>
      </c>
      <c r="G25" s="21" t="n">
        <f aca="false">SUM(G23:G24)</f>
        <v>15</v>
      </c>
    </row>
    <row r="27" customFormat="false" ht="15" hidden="false" customHeight="false" outlineLevel="0" collapsed="false">
      <c r="A27" s="3" t="s">
        <v>179</v>
      </c>
    </row>
    <row r="28" customFormat="false" ht="27.75" hidden="false" customHeight="true" outlineLevel="0" collapsed="false">
      <c r="A28" s="19" t="s">
        <v>66</v>
      </c>
      <c r="B28" s="7" t="s">
        <v>177</v>
      </c>
      <c r="C28" s="7" t="s">
        <v>16</v>
      </c>
      <c r="D28" s="7" t="s">
        <v>18</v>
      </c>
      <c r="E28" s="7" t="s">
        <v>20</v>
      </c>
      <c r="F28" s="7" t="s">
        <v>22</v>
      </c>
      <c r="G28" s="7" t="s">
        <v>14</v>
      </c>
    </row>
    <row r="29" customFormat="false" ht="15" hidden="false" customHeight="false" outlineLevel="0" collapsed="false">
      <c r="A29" s="16" t="s">
        <v>25</v>
      </c>
      <c r="B29" s="17" t="n">
        <f aca="false">COUNTIF(Прогон!$D$2:$D$500,$A29)</f>
        <v>5</v>
      </c>
      <c r="C29" s="17" t="n">
        <f aca="false">COUNTIFS(Прогон!$D$2:$D$500,$A29,Прогон!$J$2:$J$500,C$28)</f>
        <v>0</v>
      </c>
      <c r="D29" s="17" t="n">
        <f aca="false">COUNTIFS(Прогон!$D$2:$D$500,$A29,Прогон!$J$2:$J$500,D$28)</f>
        <v>0</v>
      </c>
      <c r="E29" s="17" t="n">
        <f aca="false">COUNTIFS(Прогон!$D$2:$D$500,$A29,Прогон!$J$2:$J$500,E$28)</f>
        <v>0</v>
      </c>
      <c r="F29" s="17" t="n">
        <f aca="false">COUNTIFS(Прогон!$D$2:$D$500,$A29,Прогон!$J$2:$J$500,F$28)</f>
        <v>0</v>
      </c>
      <c r="G29" s="17" t="n">
        <f aca="false">B29-SUM(C29:F29)</f>
        <v>5</v>
      </c>
    </row>
    <row r="30" customFormat="false" ht="15" hidden="false" customHeight="false" outlineLevel="0" collapsed="false">
      <c r="A30" s="16" t="s">
        <v>27</v>
      </c>
      <c r="B30" s="17" t="n">
        <f aca="false">COUNTIF(Прогон!$D$2:$D$500,$A30)</f>
        <v>8</v>
      </c>
      <c r="C30" s="17" t="n">
        <f aca="false">COUNTIFS(Прогон!$D$2:$D$500,$A30,Прогон!$J$2:$J$500,C$28)</f>
        <v>0</v>
      </c>
      <c r="D30" s="17" t="n">
        <f aca="false">COUNTIFS(Прогон!$D$2:$D$500,$A30,Прогон!$J$2:$J$500,D$28)</f>
        <v>0</v>
      </c>
      <c r="E30" s="17" t="n">
        <f aca="false">COUNTIFS(Прогон!$D$2:$D$500,$A30,Прогон!$J$2:$J$500,E$28)</f>
        <v>0</v>
      </c>
      <c r="F30" s="17" t="n">
        <f aca="false">COUNTIFS(Прогон!$D$2:$D$500,$A30,Прогон!$J$2:$J$500,F$28)</f>
        <v>0</v>
      </c>
      <c r="G30" s="17" t="n">
        <f aca="false">B30-SUM(C30:F30)</f>
        <v>8</v>
      </c>
    </row>
    <row r="31" customFormat="false" ht="15" hidden="false" customHeight="false" outlineLevel="0" collapsed="false">
      <c r="A31" s="16" t="s">
        <v>29</v>
      </c>
      <c r="B31" s="17" t="n">
        <f aca="false">COUNTIF(Прогон!$D$2:$D$500,$A31)</f>
        <v>2</v>
      </c>
      <c r="C31" s="17" t="n">
        <f aca="false">COUNTIFS(Прогон!$D$2:$D$500,$A31,Прогон!$J$2:$J$500,C$28)</f>
        <v>0</v>
      </c>
      <c r="D31" s="17" t="n">
        <f aca="false">COUNTIFS(Прогон!$D$2:$D$500,$A31,Прогон!$J$2:$J$500,D$28)</f>
        <v>0</v>
      </c>
      <c r="E31" s="17" t="n">
        <f aca="false">COUNTIFS(Прогон!$D$2:$D$500,$A31,Прогон!$J$2:$J$500,E$28)</f>
        <v>0</v>
      </c>
      <c r="F31" s="17" t="n">
        <f aca="false">COUNTIFS(Прогон!$D$2:$D$500,$A31,Прогон!$J$2:$J$500,F$28)</f>
        <v>0</v>
      </c>
      <c r="G31" s="17" t="n">
        <f aca="false">B31-SUM(C31:F31)</f>
        <v>2</v>
      </c>
    </row>
    <row r="32" customFormat="false" ht="15" hidden="false" customHeight="false" outlineLevel="0" collapsed="false">
      <c r="A32" s="20" t="s">
        <v>178</v>
      </c>
      <c r="B32" s="21" t="n">
        <f aca="false">SUM(B29:B31)</f>
        <v>15</v>
      </c>
      <c r="C32" s="21" t="n">
        <f aca="false">SUM(C29:C31)</f>
        <v>0</v>
      </c>
      <c r="D32" s="21" t="n">
        <f aca="false">SUM(D29:D31)</f>
        <v>0</v>
      </c>
      <c r="E32" s="21" t="n">
        <f aca="false">SUM(E29:E31)</f>
        <v>0</v>
      </c>
      <c r="F32" s="21" t="n">
        <f aca="false">SUM(F29:F31)</f>
        <v>0</v>
      </c>
      <c r="G32" s="21" t="n">
        <f aca="false">SUM(G29:G31)</f>
        <v>15</v>
      </c>
    </row>
  </sheetData>
  <mergeCells count="6">
    <mergeCell ref="B4:D4"/>
    <mergeCell ref="B5:D5"/>
    <mergeCell ref="B6:D6"/>
    <mergeCell ref="B7:D7"/>
    <mergeCell ref="B8:D8"/>
    <mergeCell ref="B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2026-09-27T10:16:41Z</dcterms:created>
  <dc:creator>openpyxl</dc:creator>
  <dc:description/>
  <dc:language>ru-RU</dc:language>
  <cp:lastModifiedBy/>
  <dcterms:modified xsi:type="dcterms:W3CDTF">2026-09-27T10:16:41Z</dcterms:modified>
  <cp:revision>0</cp:revision>
  <dc:subject/>
  <dc:title>Тестовые кейсы: калькулятор, JS-версия — интерфейс и ввод чисел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
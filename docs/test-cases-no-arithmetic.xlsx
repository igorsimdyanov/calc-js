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Прогон" sheetId="2" state="visible" r:id="rId4"/>
    <sheet name="Сводка" sheetId="3" state="visible" r:id="rId5"/>
  </sheets>
  <definedNames>
    <definedName function="false" hidden="false" localSheetId="1" name="_xlnm.Print_Titles" vbProcedure="false">Прогон!$1:$1</definedName>
    <definedName function="false" hidden="true" localSheetId="1" name="_xlnm._FilterDatabase" vbProcedure="false">Прогон!$A$1:$M$70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<sst xmlns="http://schemas.openxmlformats.org/spreadsheetml/2006/main" count="830" uniqueCount="500">
  <si>
    <t xml:space="preserve">Тестовые кейсы: калькулятор, JS-версия — без арифметических операций</t>
  </si>
  <si>
    <t xml:space="preserve">Книга для прогонов. Набор ручных тестовых кейсов для калькулятора в виде «Стандартный» (React + Vite): все разделы, кроме «Арифметических операций». Кейсы составлены по разделу «Требования к калькулятору» в README; полный набор — в test-cases.md. Тот же набор в Markdown — docs/test-cases-no-arithmetic.md.</t>
  </si>
  <si>
    <t xml:space="preserve">Как провести прогон</t>
  </si>
  <si>
    <t xml:space="preserve">1. Параметры</t>
  </si>
  <si>
    <t xml:space="preserve">На листе «Сводка» заполните жёлтые ячейки: версию сборки из подвала страницы, стенд, браузер и ОС, своё имя, даты прогона.</t>
  </si>
  <si>
    <t xml:space="preserve">2. Выполнение</t>
  </si>
  <si>
    <t xml:space="preserve">На листе «Прогон» выполняйте кейсы по порядку или отфильтруйте их по разделу и приоритету (стрелки в заголовках). Перед каждым кейсом верните калькулятор в исходное состояние (ОП-1).</t>
  </si>
  <si>
    <t xml:space="preserve">3. Результаты</t>
  </si>
  <si>
    <t xml:space="preserve">Заполняйте только жёлтые столбцы J–M: «Статус» (выбор из списка), «Фактический результат», «Баг-репорт», «Комментарий». Столбцы A–I — описание кейса, их не меняйте.</t>
  </si>
  <si>
    <t xml:space="preserve">4. Итоги</t>
  </si>
  <si>
    <t xml:space="preserve">Лист «Сводка» считает итоги сам: по статусам, разделам и приоритетам.</t>
  </si>
  <si>
    <t xml:space="preserve">Статусы</t>
  </si>
  <si>
    <t xml:space="preserve">Статус</t>
  </si>
  <si>
    <t xml:space="preserve">Когда ставить</t>
  </si>
  <si>
    <t xml:space="preserve">Не выполнялся</t>
  </si>
  <si>
    <t xml:space="preserve">Кейс ещё не проверяли. Стоит по умолчанию.</t>
  </si>
  <si>
    <t xml:space="preserve">Пройден</t>
  </si>
  <si>
    <t xml:space="preserve">На всех шагах фактический результат совпал с ожидаемым.</t>
  </si>
  <si>
    <t xml:space="preserve">Не пройден</t>
  </si>
  <si>
    <t xml:space="preserve">Хотя бы на одном шаге результат отличается. В «Фактический результат» запишите номер шага и что увидели, в «Баг-репорт» — номер или ссылку на заведённый дефект.</t>
  </si>
  <si>
    <t xml:space="preserve">Заблокирован</t>
  </si>
  <si>
    <t xml:space="preserve">Кейс нельзя выполнить: не получается выполнить предусловие или мешает другой дефект. Причину запишите в «Комментарий».</t>
  </si>
  <si>
    <t xml:space="preserve">Пропущен</t>
  </si>
  <si>
    <t xml:space="preserve">Кейс сознательно не выполняли в этом прогоне, например он не входит в объём смоук-теста. Причину запишите в «Комментарий».</t>
  </si>
  <si>
    <t xml:space="preserve">Приоритеты</t>
  </si>
  <si>
    <t xml:space="preserve">Высокий</t>
  </si>
  <si>
    <t xml:space="preserve">Основная функция: без неё калькулятором нельзя пользоваться.</t>
  </si>
  <si>
    <t xml:space="preserve">Средний</t>
  </si>
  <si>
    <t xml:space="preserve">Важная, но не основная функция.</t>
  </si>
  <si>
    <t xml:space="preserve">Низкий</t>
  </si>
  <si>
    <t xml:space="preserve">Граничные и редкие случаи.</t>
  </si>
  <si>
    <t xml:space="preserve">Общие предусловия</t>
  </si>
  <si>
    <t xml:space="preserve">ОП-1. Исходное состояние</t>
  </si>
  <si>
    <r>
      <rPr>
        <sz val="10"/>
        <rFont val="Arial"/>
        <family val="0"/>
        <charset val="1"/>
      </rPr>
      <t xml:space="preserve">Страница калькулятора только что открыта или перезагружена (</t>
    </r>
    <r>
      <rPr>
        <b val="true"/>
        <sz val="10"/>
        <rFont val="Arial"/>
        <family val="0"/>
        <charset val="1"/>
      </rPr>
      <t xml:space="preserve">F5</t>
    </r>
    <r>
      <rPr>
        <sz val="10"/>
        <rFont val="Arial"/>
        <family val="0"/>
        <charset val="1"/>
      </rPr>
      <t xml:space="preserve">): на экране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, строка выражения пуста, индикатора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нет, журнал пуст. Память и журнал живут только до перезагрузки страницы, поэтому перезагрузка — самый надёжный способ вернуться в исходное состояние между кейсами.</t>
    </r>
  </si>
  <si>
    <t xml:space="preserve">ОП-2. Окружение</t>
  </si>
  <si>
    <t xml:space="preserve">Актуальная версия Chrome, Firefox или Safari; ширина окна не меньше 760 px, так что журнал виден справа от калькулятора (кроме кейсов, где ширина указана явно).</t>
  </si>
  <si>
    <t xml:space="preserve">ОП-3. Стенд</t>
  </si>
  <si>
    <r>
      <rPr>
        <sz val="10"/>
        <rFont val="Arial"/>
        <family val="0"/>
        <charset val="1"/>
      </rPr>
      <t xml:space="preserve">https://calc.simdyanov.ru или локальный запуск (</t>
    </r>
    <r>
      <rPr>
        <b val="true"/>
        <sz val="10"/>
        <rFont val="Arial"/>
        <family val="0"/>
        <charset val="1"/>
      </rPr>
      <t xml:space="preserve">npm run dev</t>
    </r>
    <r>
      <rPr>
        <sz val="10"/>
        <rFont val="Arial"/>
        <family val="0"/>
        <charset val="1"/>
      </rPr>
      <t xml:space="preserve"> → http://localhost:5173, Docker → http://localhost:8080). Версия сборки указана в подвале страницы — её нужно записывать в результаты прогона и баг-репорты.</t>
    </r>
  </si>
  <si>
    <t xml:space="preserve">Обозначения</t>
  </si>
  <si>
    <t xml:space="preserve">Экран</t>
  </si>
  <si>
    <r>
      <rPr>
        <sz val="10"/>
        <rFont val="Arial"/>
        <family val="0"/>
        <charset val="1"/>
      </rPr>
      <t xml:space="preserve">Основной экран с числом (</t>
    </r>
    <r>
      <rPr>
        <b val="true"/>
        <sz val="10"/>
        <rFont val="Arial"/>
        <family val="0"/>
        <charset val="1"/>
      </rPr>
      <t xml:space="preserve">data-testid="display"</t>
    </r>
    <r>
      <rPr>
        <sz val="10"/>
        <rFont val="Arial"/>
        <family val="0"/>
        <charset val="1"/>
      </rPr>
      <t xml:space="preserve">).</t>
    </r>
  </si>
  <si>
    <t xml:space="preserve">Выражение</t>
  </si>
  <si>
    <r>
      <rPr>
        <sz val="10"/>
        <rFont val="Arial"/>
        <family val="0"/>
        <charset val="1"/>
      </rPr>
      <t xml:space="preserve">Строка над основным экраном (</t>
    </r>
    <r>
      <rPr>
        <b val="true"/>
        <sz val="10"/>
        <rFont val="Arial"/>
        <family val="0"/>
        <charset val="1"/>
      </rPr>
      <t xml:space="preserve">data-testid="expression"</t>
    </r>
    <r>
      <rPr>
        <sz val="10"/>
        <rFont val="Arial"/>
        <family val="0"/>
        <charset val="1"/>
      </rPr>
      <t xml:space="preserve">).</t>
    </r>
  </si>
  <si>
    <t xml:space="preserve">Журнал</t>
  </si>
  <si>
    <r>
      <rPr>
        <sz val="10"/>
        <rFont val="Arial"/>
        <family val="0"/>
        <charset val="1"/>
      </rPr>
      <t xml:space="preserve">Панель «Журнал» (</t>
    </r>
    <r>
      <rPr>
        <b val="true"/>
        <sz val="10"/>
        <rFont val="Arial"/>
        <family val="0"/>
        <charset val="1"/>
      </rPr>
      <t xml:space="preserve">data-testid="history"</t>
    </r>
    <r>
      <rPr>
        <sz val="10"/>
        <rFont val="Arial"/>
        <family val="0"/>
        <charset val="1"/>
      </rPr>
      <t xml:space="preserve">), записи в ней — </t>
    </r>
    <r>
      <rPr>
        <b val="true"/>
        <sz val="10"/>
        <rFont val="Arial"/>
        <family val="0"/>
        <charset val="1"/>
      </rPr>
      <t xml:space="preserve">history-item</t>
    </r>
    <r>
      <rPr>
        <sz val="10"/>
        <rFont val="Arial"/>
        <family val="0"/>
        <charset val="1"/>
      </rPr>
      <t xml:space="preserve">.</t>
    </r>
  </si>
  <si>
    <t xml:space="preserve">—</t>
  </si>
  <si>
    <r>
      <rPr>
        <sz val="10"/>
        <rFont val="Arial"/>
        <family val="0"/>
        <charset val="1"/>
      </rPr>
      <t xml:space="preserve">Кнопки записаны так, как подписаны на калькуляторе: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×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÷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%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¹⁄ₓ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x²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,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</si>
  <si>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«Набрать </t>
    </r>
    <r>
      <rPr>
        <b val="true"/>
        <sz val="10"/>
        <rFont val="Arial"/>
        <family val="0"/>
        <charset val="1"/>
      </rPr>
      <t xml:space="preserve">2,5</t>
    </r>
    <r>
      <rPr>
        <sz val="10"/>
        <rFont val="Arial"/>
        <family val="0"/>
        <charset val="1"/>
      </rPr>
      <t xml:space="preserve">» — нажать по очереди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,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 Кнопки нажимаются мышью, если в кейсе не сказано иное.</t>
    </r>
  </si>
  <si>
    <r>
      <rPr>
        <sz val="10"/>
        <rFont val="Arial"/>
        <family val="0"/>
        <charset val="1"/>
      </rPr>
      <t xml:space="preserve">Значения на экране записаны точно так, как они выводятся: пробел разделяет разряды, запятая — дробную часть (</t>
    </r>
    <r>
      <rPr>
        <b val="true"/>
        <sz val="10"/>
        <rFont val="Arial"/>
        <family val="0"/>
        <charset val="1"/>
      </rPr>
      <t xml:space="preserve">1 234 567,5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</si>
  <si>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Запись журнала обозначена как </t>
    </r>
    <r>
      <rPr>
        <b val="true"/>
        <sz val="10"/>
        <rFont val="Arial"/>
        <family val="0"/>
        <charset val="1"/>
      </rPr>
      <t xml:space="preserve">выражение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результат</t>
    </r>
    <r>
      <rPr>
        <sz val="10"/>
        <rFont val="Arial"/>
        <family val="0"/>
        <charset val="1"/>
      </rPr>
      <t xml:space="preserve">, например </t>
    </r>
    <r>
      <rPr>
        <b val="true"/>
        <sz val="10"/>
        <rFont val="Arial"/>
        <family val="0"/>
        <charset val="1"/>
      </rPr>
      <t xml:space="preserve">12 + 30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42</t>
    </r>
    <r>
      <rPr>
        <sz val="10"/>
        <rFont val="Arial"/>
        <family val="0"/>
        <charset val="1"/>
      </rPr>
      <t xml:space="preserve">.</t>
    </r>
  </si>
  <si>
    <t xml:space="preserve">Шаги и результаты</t>
  </si>
  <si>
    <t xml:space="preserve">Номер строки в «Ожидаемом результате» совпадает с номером шага в «Шагах».</t>
  </si>
  <si>
    <t xml:space="preserve">Пример: кейс пройден (условные данные)</t>
  </si>
  <si>
    <t xml:space="preserve">ID</t>
  </si>
  <si>
    <t xml:space="preserve">TC-UI-01</t>
  </si>
  <si>
    <t xml:space="preserve">Фактический результат</t>
  </si>
  <si>
    <t xml:space="preserve">Оставьте пустым: он совпал с ожидаемым.</t>
  </si>
  <si>
    <t xml:space="preserve">Пример: кейс не пройден (условные данные, не результат реального прогона)</t>
  </si>
  <si>
    <t xml:space="preserve">TC-INP-02</t>
  </si>
  <si>
    <t xml:space="preserve">Шаг 2: на экране 05, ожидалось 5</t>
  </si>
  <si>
    <t xml:space="preserve">Баг-репорт</t>
  </si>
  <si>
    <t xml:space="preserve">BUG-17</t>
  </si>
  <si>
    <t xml:space="preserve">Комментарий</t>
  </si>
  <si>
    <t xml:space="preserve">Воспроизводится в Firefox, в Chrome — нет</t>
  </si>
  <si>
    <t xml:space="preserve">Название</t>
  </si>
  <si>
    <t xml:space="preserve">Раздел</t>
  </si>
  <si>
    <t xml:space="preserve">Приоритет</t>
  </si>
  <si>
    <t xml:space="preserve">Требование</t>
  </si>
  <si>
    <t xml:space="preserve">Предусловия</t>
  </si>
  <si>
    <t xml:space="preserve">Шаги</t>
  </si>
  <si>
    <t xml:space="preserve">Ожидаемый результат</t>
  </si>
  <si>
    <t xml:space="preserve">Постусловия</t>
  </si>
  <si>
    <t xml:space="preserve">Исходное состояние после загрузки</t>
  </si>
  <si>
    <t xml:space="preserve">Интерфейс</t>
  </si>
  <si>
    <t xml:space="preserve">«Операции», «Журнал»</t>
  </si>
  <si>
    <t xml:space="preserve">ОП-2, ОП-3. Страница калькулятора ещё не открыта.</t>
  </si>
  <si>
    <t xml:space="preserve">1. Открыть страницу калькулятора
2. Посмотреть на кнопки памяти
3. Посмотреть на журнал
4. Посмотреть на подвал страницы</t>
  </si>
  <si>
    <r>
      <rPr>
        <sz val="10"/>
        <rFont val="Arial"/>
        <family val="0"/>
        <charset val="1"/>
      </rPr>
      <t xml:space="preserve">1. Заголовок «Стандартный».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пустое; индикатора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нет
2.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 недоступны; </t>
    </r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 доступны
3. Журнал виден справа, в нём текст «Журнал пока пуст»; кнопка с корзиной недоступна
4. Текст «Учебный проект · версия 1.0.0»</t>
    </r>
  </si>
  <si>
    <t xml:space="preserve">Калькулятор в исходном состоянии (ОП-1); память и журнал пусты.</t>
  </si>
  <si>
    <t xml:space="preserve">TC-INP-01</t>
  </si>
  <si>
    <t xml:space="preserve">Ввод целого числа</t>
  </si>
  <si>
    <t xml:space="preserve">Ввод чисел</t>
  </si>
  <si>
    <t xml:space="preserve">«Ввод»</t>
  </si>
  <si>
    <t xml:space="preserve">ОП-1.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</si>
  <si>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1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</si>
  <si>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123</t>
    </r>
    <r>
      <rPr>
        <sz val="10"/>
        <rFont val="Arial"/>
        <family val="0"/>
        <charset val="1"/>
      </rPr>
      <t xml:space="preserve">; выражение пустое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</si>
  <si>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123</t>
    </r>
    <r>
      <rPr>
        <sz val="10"/>
        <rFont val="Arial"/>
        <family val="0"/>
        <charset val="1"/>
      </rPr>
      <t xml:space="preserve">, операций нет; журнал пуст.</t>
    </r>
  </si>
  <si>
    <t xml:space="preserve">Ведущие нули не допускаются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</si>
  <si>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 три раза
2. Нажать </t>
    </r>
    <r>
      <rPr>
        <b val="true"/>
        <sz val="10"/>
        <rFont val="Arial"/>
        <family val="0"/>
        <charset val="1"/>
      </rPr>
      <t xml:space="preserve">5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</si>
  <si>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 (не </t>
    </r>
    <r>
      <rPr>
        <b val="true"/>
        <sz val="10"/>
        <rFont val="Arial"/>
        <family val="0"/>
        <charset val="1"/>
      </rPr>
      <t xml:space="preserve">000</t>
    </r>
    <r>
      <rPr>
        <sz val="10"/>
        <rFont val="Arial"/>
        <family val="0"/>
        <charset val="1"/>
      </rPr>
      <t xml:space="preserve">)
2.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 (не </t>
    </r>
    <r>
      <rPr>
        <b val="true"/>
        <sz val="10"/>
        <rFont val="Arial"/>
        <family val="0"/>
        <charset val="1"/>
      </rPr>
      <t xml:space="preserve">05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</si>
  <si>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</t>
    </r>
  </si>
  <si>
    <t xml:space="preserve">TC-INP-03</t>
  </si>
  <si>
    <t xml:space="preserve">Ввод дробного числа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</si>
  <si>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3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,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</si>
  <si>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3,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3,14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</si>
  <si>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3,14</t>
    </r>
    <r>
      <rPr>
        <sz val="10"/>
        <rFont val="Arial"/>
        <family val="0"/>
        <charset val="1"/>
      </rPr>
      <t xml:space="preserve">.</t>
    </r>
  </si>
  <si>
    <t xml:space="preserve">TC-INP-04</t>
  </si>
  <si>
    <t xml:space="preserve">Разделитель в начале числа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</si>
  <si>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,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5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</si>
  <si>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0,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0,5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</si>
  <si>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0,5</t>
    </r>
    <r>
      <rPr>
        <sz val="10"/>
        <rFont val="Arial"/>
        <family val="0"/>
        <charset val="1"/>
      </rPr>
      <t xml:space="preserve">.</t>
    </r>
  </si>
  <si>
    <t xml:space="preserve">TC-INP-05</t>
  </si>
  <si>
    <t xml:space="preserve">Второй разделитель игнорируется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</si>
  <si>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1,2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,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</si>
  <si>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1,2
</t>
    </r>
    <r>
      <rPr>
        <sz val="10"/>
        <rFont val="Arial"/>
        <family val="0"/>
        <charset val="1"/>
      </rPr>
      <t xml:space="preserve">2. Экран не изменился: </t>
    </r>
    <r>
      <rPr>
        <b val="true"/>
        <sz val="10"/>
        <rFont val="Arial"/>
        <family val="0"/>
        <charset val="1"/>
      </rPr>
      <t xml:space="preserve">1,2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1,23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</si>
  <si>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1,23</t>
    </r>
    <r>
      <rPr>
        <sz val="10"/>
        <rFont val="Arial"/>
        <family val="0"/>
        <charset val="1"/>
      </rPr>
      <t xml:space="preserve">, в нём один разделитель.</t>
    </r>
  </si>
  <si>
    <t xml:space="preserve">TC-INP-06</t>
  </si>
  <si>
    <t xml:space="preserve">Не более 15 цифр в целом числе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</si>
  <si>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123456789012345</t>
    </r>
    <r>
      <rPr>
        <sz val="10"/>
        <rFont val="Arial"/>
        <family val="0"/>
        <charset val="1"/>
      </rPr>
      <t xml:space="preserve"> (15 цифр)
2. Нажать </t>
    </r>
    <r>
      <rPr>
        <b val="true"/>
        <sz val="10"/>
        <rFont val="Arial"/>
        <family val="0"/>
        <charset val="1"/>
      </rPr>
      <t xml:space="preserve">6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</si>
  <si>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123 456 789 012 345
</t>
    </r>
    <r>
      <rPr>
        <sz val="10"/>
        <rFont val="Arial"/>
        <family val="0"/>
        <charset val="1"/>
      </rPr>
      <t xml:space="preserve">2. Экран не изменился: </t>
    </r>
    <r>
      <rPr>
        <b val="true"/>
        <sz val="10"/>
        <rFont val="Arial"/>
        <family val="0"/>
        <charset val="1"/>
      </rPr>
      <t xml:space="preserve">123 456 789 012 345</t>
    </r>
  </si>
  <si>
    <t xml:space="preserve">Набирается число из 15 цифр; следующие цифры не принимаются, пока число не завершено.</t>
  </si>
  <si>
    <t xml:space="preserve">TC-INP-07</t>
  </si>
  <si>
    <t xml:space="preserve">Не более 15 цифр в дробном числе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</si>
  <si>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1,23456789012345</t>
    </r>
    <r>
      <rPr>
        <sz val="10"/>
        <rFont val="Arial"/>
        <family val="0"/>
        <charset val="1"/>
      </rPr>
      <t xml:space="preserve"> (15 цифр)
2. Нажать </t>
    </r>
    <r>
      <rPr>
        <b val="true"/>
        <sz val="10"/>
        <rFont val="Arial"/>
        <family val="0"/>
        <charset val="1"/>
      </rPr>
      <t xml:space="preserve">6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</si>
  <si>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1,23456789012345
</t>
    </r>
    <r>
      <rPr>
        <sz val="10"/>
        <rFont val="Arial"/>
        <family val="0"/>
        <charset val="1"/>
      </rPr>
      <t xml:space="preserve">2. Экран не изменился: </t>
    </r>
    <r>
      <rPr>
        <b val="true"/>
        <sz val="10"/>
        <rFont val="Arial"/>
        <family val="0"/>
        <charset val="1"/>
      </rPr>
      <t xml:space="preserve">1,23456789012345</t>
    </r>
  </si>
  <si>
    <t xml:space="preserve">Набирается число из 15 цифр; запятая в лимит не входит.</t>
  </si>
  <si>
    <t xml:space="preserve">TC-INP-08</t>
  </si>
  <si>
    <t xml:space="preserve">Разбиение на разряды при вводе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</si>
  <si>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1234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6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7
</t>
    </r>
    <r>
      <rPr>
        <sz val="10"/>
        <rFont val="Arial"/>
        <family val="0"/>
        <charset val="1"/>
      </rPr>
      <t xml:space="preserve">3. Набрать </t>
    </r>
    <r>
      <rPr>
        <b val="true"/>
        <sz val="10"/>
        <rFont val="Arial"/>
        <family val="0"/>
        <charset val="1"/>
      </rPr>
      <t xml:space="preserve">,5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</si>
  <si>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1 234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1 234 567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1 234 567,5</t>
    </r>
    <r>
      <rPr>
        <sz val="10"/>
        <rFont val="Arial"/>
        <family val="0"/>
        <charset val="1"/>
      </rPr>
      <t xml:space="preserve">; дробная часть на разряды не разбивается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</si>
  <si>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1 234 567,5</t>
    </r>
    <r>
      <rPr>
        <sz val="10"/>
        <rFont val="Arial"/>
        <family val="0"/>
        <charset val="1"/>
      </rPr>
      <t xml:space="preserve">.</t>
    </r>
  </si>
  <si>
    <t xml:space="preserve">TC-INP-09</t>
  </si>
  <si>
    <t xml:space="preserve">Смена знака набираемого числа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</si>
  <si>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), «Ввод»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</si>
  <si>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3,5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+/−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+/−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</si>
  <si>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3,5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-3,5</t>
    </r>
    <r>
      <rPr>
        <sz val="10"/>
        <rFont val="Arial"/>
        <family val="0"/>
        <charset val="1"/>
      </rPr>
      <t xml:space="preserve">; выражение пустое
3. Экран: </t>
    </r>
    <r>
      <rPr>
        <b val="true"/>
        <sz val="10"/>
        <rFont val="Arial"/>
        <family val="0"/>
        <charset val="1"/>
      </rPr>
      <t xml:space="preserve">3,5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</si>
  <si>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3,5</t>
    </r>
    <r>
      <rPr>
        <sz val="10"/>
        <rFont val="Arial"/>
        <family val="0"/>
        <charset val="1"/>
      </rPr>
      <t xml:space="preserve">; ввод можно продолжить.</t>
    </r>
  </si>
  <si>
    <t xml:space="preserve">TC-INP-10</t>
  </si>
  <si>
    <t xml:space="preserve">Стирание последнего символа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</si>
  <si>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</si>
  <si>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123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⌫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 два раза
4. Набрать </t>
    </r>
    <r>
      <rPr>
        <b val="true"/>
        <sz val="10"/>
        <rFont val="Arial"/>
        <family val="0"/>
        <charset val="1"/>
      </rPr>
      <t xml:space="preserve">5,
</t>
    </r>
    <r>
      <rPr>
        <sz val="10"/>
        <rFont val="Arial"/>
        <family val="0"/>
        <charset val="1"/>
      </rPr>
      <t xml:space="preserve">5. Нажать </t>
    </r>
    <r>
      <rPr>
        <b val="true"/>
        <sz val="10"/>
        <rFont val="Arial"/>
        <family val="0"/>
        <charset val="1"/>
      </rPr>
      <t xml:space="preserve">⌫
</t>
    </r>
    <r>
      <rPr>
        <sz val="10"/>
        <rFont val="Arial"/>
        <family val="0"/>
        <charset val="1"/>
      </rPr>
      <t xml:space="preserve">6. Нажать </t>
    </r>
    <r>
      <rPr>
        <b val="true"/>
        <sz val="10"/>
        <rFont val="Arial"/>
        <family val="0"/>
        <charset val="1"/>
      </rPr>
      <t xml:space="preserve">7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</si>
  <si>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123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12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0
</t>
    </r>
    <r>
      <rPr>
        <sz val="10"/>
        <rFont val="Arial"/>
        <family val="0"/>
        <charset val="1"/>
      </rPr>
      <t xml:space="preserve">4. Экран: </t>
    </r>
    <r>
      <rPr>
        <b val="true"/>
        <sz val="10"/>
        <rFont val="Arial"/>
        <family val="0"/>
        <charset val="1"/>
      </rPr>
      <t xml:space="preserve">5,
</t>
    </r>
    <r>
      <rPr>
        <sz val="10"/>
        <rFont val="Arial"/>
        <family val="0"/>
        <charset val="1"/>
      </rPr>
      <t xml:space="preserve">5. Экран: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6. Экран: </t>
    </r>
    <r>
      <rPr>
        <b val="true"/>
        <sz val="10"/>
        <rFont val="Arial"/>
        <family val="0"/>
        <charset val="1"/>
      </rPr>
      <t xml:space="preserve">57</t>
    </r>
    <r>
      <rPr>
        <sz val="10"/>
        <rFont val="Arial"/>
        <family val="0"/>
        <charset val="1"/>
      </rPr>
      <t xml:space="preserve"> — разделитель действительно удалён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</si>
  <si>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57</t>
    </r>
    <r>
      <rPr>
        <sz val="10"/>
        <rFont val="Arial"/>
        <family val="0"/>
        <charset val="1"/>
      </rPr>
      <t xml:space="preserve">.</t>
    </r>
  </si>
  <si>
    <t xml:space="preserve">TC-INP-11</t>
  </si>
  <si>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 не изменяет результат вычисления</t>
    </r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</si>
  <si>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); эталон — калькулятор Windows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</si>
  <si>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⌫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</si>
  <si>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 + 3 =
</t>
    </r>
    <r>
      <rPr>
        <sz val="10"/>
        <rFont val="Arial"/>
        <family val="0"/>
        <charset val="1"/>
      </rPr>
      <t xml:space="preserve">2. Экран не изменился: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выражение очищено</t>
    </r>
  </si>
  <si>
    <r>
      <rPr>
        <sz val="10"/>
        <rFont val="Arial"/>
        <family val="0"/>
        <charset val="1"/>
      </rPr>
      <t xml:space="preserve">На экране результат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 журнале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</t>
    </r>
  </si>
  <si>
    <t xml:space="preserve">TC-INP-12</t>
  </si>
  <si>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 очищает только текущий ввод</t>
    </r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</si>
  <si>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</si>
  <si>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34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CE
</t>
    </r>
    <r>
      <rPr>
        <sz val="10"/>
        <rFont val="Arial"/>
        <family val="0"/>
        <charset val="1"/>
      </rPr>
      <t xml:space="preserve">3.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</si>
  <si>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34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по-прежнему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17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+ 5 =</t>
    </r>
  </si>
  <si>
    <r>
      <rPr>
        <sz val="10"/>
        <rFont val="Arial"/>
        <family val="0"/>
        <charset val="1"/>
      </rPr>
      <t xml:space="preserve">В журнале одна запись </t>
    </r>
    <r>
      <rPr>
        <b val="true"/>
        <sz val="10"/>
        <rFont val="Arial"/>
        <family val="0"/>
        <charset val="1"/>
      </rPr>
      <t xml:space="preserve">12 + 5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17</t>
    </r>
    <r>
      <rPr>
        <sz val="10"/>
        <rFont val="Arial"/>
        <family val="0"/>
        <charset val="1"/>
      </rPr>
      <t xml:space="preserve">; число </t>
    </r>
    <r>
      <rPr>
        <b val="true"/>
        <sz val="10"/>
        <rFont val="Arial"/>
        <family val="0"/>
        <charset val="1"/>
      </rPr>
      <t xml:space="preserve">34</t>
    </r>
    <r>
      <rPr>
        <sz val="10"/>
        <rFont val="Arial"/>
        <family val="0"/>
        <charset val="1"/>
      </rPr>
      <t xml:space="preserve"> в вычисление не попало.</t>
    </r>
  </si>
  <si>
    <t xml:space="preserve">TC-INP-13</t>
  </si>
  <si>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 выполняет полный сброс</t>
    </r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</si>
  <si>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</si>
  <si>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34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
</t>
    </r>
    <r>
      <rPr>
        <sz val="10"/>
        <rFont val="Arial"/>
        <family val="0"/>
        <charset val="1"/>
      </rPr>
      <t xml:space="preserve">3.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</si>
  <si>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34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
3.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 — сложение с </t>
    </r>
    <r>
      <rPr>
        <b val="true"/>
        <sz val="10"/>
        <rFont val="Arial"/>
        <family val="0"/>
        <charset val="1"/>
      </rPr>
      <t xml:space="preserve">12</t>
    </r>
    <r>
      <rPr>
        <sz val="10"/>
        <rFont val="Arial"/>
        <family val="0"/>
        <charset val="1"/>
      </rPr>
      <t xml:space="preserve"> не выполняется</t>
    </r>
  </si>
  <si>
    <t xml:space="preserve">Незавершённой операции нет; журнал пуст.</t>
  </si>
  <si>
    <t xml:space="preserve">TC-INP-14</t>
  </si>
  <si>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 сохраняет память и журнал</t>
    </r>
  </si>
  <si>
    <r>
      <rPr>
        <sz val="10"/>
        <rFont val="Arial"/>
        <family val="0"/>
        <charset val="1"/>
      </rPr>
      <t xml:space="preserve">ОП-1, затем:
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 — в журнале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
2. Набрать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 — на экране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</si>
  <si>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C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</si>
  <si>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пустое;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остался; в журнале по-прежнему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7</t>
    </r>
  </si>
  <si>
    <r>
      <rPr>
        <sz val="10"/>
        <rFont val="Arial"/>
        <family val="0"/>
        <charset val="1"/>
      </rPr>
      <t xml:space="preserve">В памяти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; в журнале одна запись.</t>
    </r>
  </si>
  <si>
    <t xml:space="preserve">TC-FN-01</t>
  </si>
  <si>
    <t xml:space="preserve">Квадрат целого числа</t>
  </si>
  <si>
    <t xml:space="preserve">Функции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</si>
  <si>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x²</t>
    </r>
    <r>
      <rPr>
        <sz val="10"/>
        <rFont val="Arial"/>
        <family val="0"/>
        <charset val="1"/>
      </rPr>
      <t xml:space="preserve">; выражение </t>
    </r>
    <r>
      <rPr>
        <b val="true"/>
        <sz val="10"/>
        <rFont val="Arial"/>
        <family val="0"/>
        <charset val="1"/>
      </rPr>
      <t xml:space="preserve">sqr(5)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</si>
  <si>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x²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</si>
  <si>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25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sqr(5)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</si>
  <si>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25</t>
    </r>
    <r>
      <rPr>
        <sz val="10"/>
        <rFont val="Arial"/>
        <family val="0"/>
        <charset val="1"/>
      </rPr>
      <t xml:space="preserve">; следующая цифра начнёт новое число; журнал пуст.</t>
    </r>
  </si>
  <si>
    <t xml:space="preserve">TC-FN-02</t>
  </si>
  <si>
    <t xml:space="preserve">Квадрат отрицательного числа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</si>
  <si>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x²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</si>
  <si>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x²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</si>
  <si>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sqr(-3)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</si>
  <si>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.</t>
    </r>
  </si>
  <si>
    <t xml:space="preserve">TC-FN-03</t>
  </si>
  <si>
    <t xml:space="preserve">Квадрат дробного числа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</si>
  <si>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0,5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x²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</si>
  <si>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0,25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sqr(0,5)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</si>
  <si>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0,25</t>
    </r>
    <r>
      <rPr>
        <sz val="10"/>
        <rFont val="Arial"/>
        <family val="0"/>
        <charset val="1"/>
      </rPr>
      <t xml:space="preserve">.</t>
    </r>
  </si>
  <si>
    <t xml:space="preserve">TC-FN-04</t>
  </si>
  <si>
    <t xml:space="preserve">Повторное применение функции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</si>
  <si>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x²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</si>
  <si>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x²</t>
    </r>
    <r>
      <rPr>
        <sz val="10"/>
        <rFont val="Arial"/>
        <family val="0"/>
        <charset val="1"/>
      </rPr>
      <t xml:space="preserve"> два раза
2. Нажать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. Набрать </t>
    </r>
    <r>
      <rPr>
        <b val="true"/>
        <sz val="10"/>
        <rFont val="Arial"/>
        <family val="0"/>
        <charset val="1"/>
      </rPr>
      <t xml:space="preserve">16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 два раза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</si>
  <si>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16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sqr(sqr(2))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√(√(16))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</si>
  <si>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; журнал пуст.</t>
    </r>
  </si>
  <si>
    <t xml:space="preserve">TC-FN-05</t>
  </si>
  <si>
    <t xml:space="preserve">Квадратный корень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</si>
  <si>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; выражение </t>
    </r>
    <r>
      <rPr>
        <b val="true"/>
        <sz val="10"/>
        <rFont val="Arial"/>
        <family val="0"/>
        <charset val="1"/>
      </rPr>
      <t xml:space="preserve">√(9)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</si>
  <si>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²√x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</si>
  <si>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√(9)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</si>
  <si>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; журнал пуст.</t>
    </r>
  </si>
  <si>
    <t xml:space="preserve">TC-FN-06</t>
  </si>
  <si>
    <t xml:space="preserve">Иррациональный квадратный корень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</si>
  <si>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, округление до 15 значащих цифр)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</si>
  <si>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²√x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</si>
  <si>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1,4142135623731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√(2)
</t>
    </r>
    <r>
      <rPr>
        <sz val="10"/>
        <rFont val="Arial"/>
        <family val="0"/>
        <charset val="1"/>
      </rPr>
      <t xml:space="preserve">Примечание: √2 = 1,41421356237309504…; при округлении до 15 значащих цифр получается 1,41421356237310, конечный ноль не выводится.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</si>
  <si>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1,4142135623731</t>
    </r>
    <r>
      <rPr>
        <sz val="10"/>
        <rFont val="Arial"/>
        <family val="0"/>
        <charset val="1"/>
      </rPr>
      <t xml:space="preserve">.</t>
    </r>
  </si>
  <si>
    <t xml:space="preserve">TC-FN-07</t>
  </si>
  <si>
    <t xml:space="preserve">Квадратный корень из дробного числа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</si>
  <si>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</si>
  <si>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1,44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²√x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</si>
  <si>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1,2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√(1,44)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</si>
  <si>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1,2</t>
    </r>
    <r>
      <rPr>
        <sz val="10"/>
        <rFont val="Arial"/>
        <family val="0"/>
        <charset val="1"/>
      </rPr>
      <t xml:space="preserve">.</t>
    </r>
  </si>
  <si>
    <t xml:space="preserve">TC-FN-08</t>
  </si>
  <si>
    <t xml:space="preserve">Обратное значение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</si>
  <si>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¹⁄ₓ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</si>
  <si>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4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¹⁄ₓ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</si>
  <si>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0,25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1/(4)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</si>
  <si>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0,25</t>
    </r>
    <r>
      <rPr>
        <sz val="10"/>
        <rFont val="Arial"/>
        <family val="0"/>
        <charset val="1"/>
      </rPr>
      <t xml:space="preserve">; журнал пуст.</t>
    </r>
  </si>
  <si>
    <t xml:space="preserve">TC-FN-09</t>
  </si>
  <si>
    <t xml:space="preserve">Функция над вторым операндом</t>
  </si>
  <si>
    <t xml:space="preserve">«Операции»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</si>
  <si>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x²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</si>
  <si>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Выражение: </t>
    </r>
    <r>
      <rPr>
        <b val="true"/>
        <sz val="10"/>
        <rFont val="Arial"/>
        <family val="0"/>
        <charset val="1"/>
      </rPr>
      <t xml:space="preserve">10 +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10 + sqr(3)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19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10 + sqr(3) =</t>
    </r>
  </si>
  <si>
    <r>
      <rPr>
        <sz val="10"/>
        <rFont val="Arial"/>
        <family val="0"/>
        <charset val="1"/>
      </rPr>
      <t xml:space="preserve">В журнале запись </t>
    </r>
    <r>
      <rPr>
        <b val="true"/>
        <sz val="10"/>
        <rFont val="Arial"/>
        <family val="0"/>
        <charset val="1"/>
      </rPr>
      <t xml:space="preserve">10 + sqr(3)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19</t>
    </r>
    <r>
      <rPr>
        <sz val="10"/>
        <rFont val="Arial"/>
        <family val="0"/>
        <charset val="1"/>
      </rPr>
      <t xml:space="preserve">.</t>
    </r>
  </si>
  <si>
    <t xml:space="preserve">TC-FN-10</t>
  </si>
  <si>
    <t xml:space="preserve">Смена знака результата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</si>
  <si>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); эталон — калькулятор Windows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</si>
  <si>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+/−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</si>
  <si>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-5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negate(5)</t>
    </r>
  </si>
  <si>
    <r>
      <rPr>
        <sz val="10"/>
        <rFont val="Arial"/>
        <family val="0"/>
        <charset val="1"/>
      </rPr>
      <t xml:space="preserve">На экране </t>
    </r>
    <r>
      <rPr>
        <b val="true"/>
        <sz val="10"/>
        <rFont val="Arial"/>
        <family val="0"/>
        <charset val="1"/>
      </rPr>
      <t xml:space="preserve">-5</t>
    </r>
    <r>
      <rPr>
        <sz val="10"/>
        <rFont val="Arial"/>
        <family val="0"/>
        <charset val="1"/>
      </rPr>
      <t xml:space="preserve">; в журнале одна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</t>
    </r>
  </si>
  <si>
    <t xml:space="preserve">TC-FN-11</t>
  </si>
  <si>
    <t xml:space="preserve">Ввод после функции начинает новое число</t>
  </si>
  <si>
    <t xml:space="preserve">«Операции»; эталон — калькулятор Windows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</si>
  <si>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x²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</si>
  <si>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25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 (не </t>
    </r>
    <r>
      <rPr>
        <b val="true"/>
        <sz val="10"/>
        <rFont val="Arial"/>
        <family val="0"/>
        <charset val="1"/>
      </rPr>
      <t xml:space="preserve">253</t>
    </r>
    <r>
      <rPr>
        <sz val="10"/>
        <rFont val="Arial"/>
        <family val="0"/>
        <charset val="1"/>
      </rPr>
      <t xml:space="preserve">); выражение очищено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</si>
  <si>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; журнал пуст.</t>
    </r>
  </si>
  <si>
    <t xml:space="preserve">TC-FN-12</t>
  </si>
  <si>
    <t xml:space="preserve">Процент при сложении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</si>
  <si>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200 + 5 %</t>
    </r>
    <r>
      <rPr>
        <sz val="10"/>
        <rFont val="Arial"/>
        <family val="0"/>
        <charset val="1"/>
      </rPr>
      <t xml:space="preserve"> → второй операнд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</si>
  <si>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200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%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</si>
  <si>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Выражение: </t>
    </r>
    <r>
      <rPr>
        <b val="true"/>
        <sz val="10"/>
        <rFont val="Arial"/>
        <family val="0"/>
        <charset val="1"/>
      </rPr>
      <t xml:space="preserve">200 +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200 + 10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210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200 + 10 =</t>
    </r>
  </si>
  <si>
    <r>
      <rPr>
        <sz val="10"/>
        <rFont val="Arial"/>
        <family val="0"/>
        <charset val="1"/>
      </rPr>
      <t xml:space="preserve">В журнале запись </t>
    </r>
    <r>
      <rPr>
        <b val="true"/>
        <sz val="10"/>
        <rFont val="Arial"/>
        <family val="0"/>
        <charset val="1"/>
      </rPr>
      <t xml:space="preserve">200 + 10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210</t>
    </r>
    <r>
      <rPr>
        <sz val="10"/>
        <rFont val="Arial"/>
        <family val="0"/>
        <charset val="1"/>
      </rPr>
      <t xml:space="preserve">.</t>
    </r>
  </si>
  <si>
    <t xml:space="preserve">TC-FN-13</t>
  </si>
  <si>
    <t xml:space="preserve">Процент при вычитании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</si>
  <si>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%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</si>
  <si>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200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−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%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</si>
  <si>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200 − 10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190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200 − 10 =</t>
    </r>
  </si>
  <si>
    <r>
      <rPr>
        <sz val="10"/>
        <rFont val="Arial"/>
        <family val="0"/>
        <charset val="1"/>
      </rPr>
      <t xml:space="preserve">В журнале запись </t>
    </r>
    <r>
      <rPr>
        <b val="true"/>
        <sz val="10"/>
        <rFont val="Arial"/>
        <family val="0"/>
        <charset val="1"/>
      </rPr>
      <t xml:space="preserve">200 − 10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190</t>
    </r>
    <r>
      <rPr>
        <sz val="10"/>
        <rFont val="Arial"/>
        <family val="0"/>
        <charset val="1"/>
      </rPr>
      <t xml:space="preserve">.</t>
    </r>
  </si>
  <si>
    <t xml:space="preserve">TC-FN-14</t>
  </si>
  <si>
    <t xml:space="preserve">Процент при умножении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</si>
  <si>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200 × 5 %</t>
    </r>
    <r>
      <rPr>
        <sz val="10"/>
        <rFont val="Arial"/>
        <family val="0"/>
        <charset val="1"/>
      </rPr>
      <t xml:space="preserve"> → второй операнд </t>
    </r>
    <r>
      <rPr>
        <b val="true"/>
        <sz val="10"/>
        <rFont val="Arial"/>
        <family val="0"/>
        <charset val="1"/>
      </rPr>
      <t xml:space="preserve">0,05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</si>
  <si>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200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×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%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</si>
  <si>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0,05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200 × 0,05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200 × 0,05 =</t>
    </r>
  </si>
  <si>
    <r>
      <rPr>
        <sz val="10"/>
        <rFont val="Arial"/>
        <family val="0"/>
        <charset val="1"/>
      </rPr>
      <t xml:space="preserve">В журнале запись </t>
    </r>
    <r>
      <rPr>
        <b val="true"/>
        <sz val="10"/>
        <rFont val="Arial"/>
        <family val="0"/>
        <charset val="1"/>
      </rPr>
      <t xml:space="preserve">200 × 0,05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.</t>
    </r>
  </si>
  <si>
    <t xml:space="preserve">TC-MEM-01</t>
  </si>
  <si>
    <t xml:space="preserve">Кнопки памяти при пустой памяти</t>
  </si>
  <si>
    <t xml:space="preserve">Память</t>
  </si>
  <si>
    <r>
      <rPr>
        <sz val="10"/>
        <rFont val="Arial"/>
        <family val="0"/>
        <charset val="1"/>
      </rPr>
      <t xml:space="preserve">«Операции» (индикатор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 без значения недоступны)</t>
    </r>
  </si>
  <si>
    <r>
      <rPr>
        <sz val="10"/>
        <rFont val="Arial"/>
        <family val="0"/>
        <charset val="1"/>
      </rPr>
      <t xml:space="preserve">1. Посмотреть на экран и панель памяти
2. Нажать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</si>
  <si>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Индикатора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нет;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 недоступны; </t>
    </r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 доступны
2. Ничего не происходит: экран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, выражение пустое</t>
    </r>
  </si>
  <si>
    <t xml:space="preserve">Память пуста.</t>
  </si>
  <si>
    <t xml:space="preserve">TC-MEM-02</t>
  </si>
  <si>
    <t xml:space="preserve">Сохранение в память и считывание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</si>
  <si>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,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</si>
  <si>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</si>
  <si>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15</t>
    </r>
    <r>
      <rPr>
        <sz val="10"/>
        <rFont val="Arial"/>
        <family val="0"/>
        <charset val="1"/>
      </rPr>
      <t xml:space="preserve">; появился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;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 стали доступны
2.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остался
3. Экран: </t>
    </r>
    <r>
      <rPr>
        <b val="true"/>
        <sz val="10"/>
        <rFont val="Arial"/>
        <family val="0"/>
        <charset val="1"/>
      </rPr>
      <t xml:space="preserve">15</t>
    </r>
  </si>
  <si>
    <r>
      <rPr>
        <sz val="10"/>
        <rFont val="Arial"/>
        <family val="0"/>
        <charset val="1"/>
      </rPr>
      <t xml:space="preserve">В памяти </t>
    </r>
    <r>
      <rPr>
        <b val="true"/>
        <sz val="10"/>
        <rFont val="Arial"/>
        <family val="0"/>
        <charset val="1"/>
      </rPr>
      <t xml:space="preserve">15</t>
    </r>
    <r>
      <rPr>
        <sz val="10"/>
        <rFont val="Arial"/>
        <family val="0"/>
        <charset val="1"/>
      </rPr>
      <t xml:space="preserve">;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виден.</t>
    </r>
  </si>
  <si>
    <t xml:space="preserve">TC-MEM-03</t>
  </si>
  <si>
    <t xml:space="preserve">Прибавление к памяти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</si>
  <si>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</si>
  <si>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ОП-1, затем в память записано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: набрать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</si>
  <si>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M+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</si>
  <si>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виден
2. Экран: </t>
    </r>
    <r>
      <rPr>
        <b val="true"/>
        <sz val="10"/>
        <rFont val="Arial"/>
        <family val="0"/>
        <charset val="1"/>
      </rPr>
      <t xml:space="preserve">15</t>
    </r>
  </si>
  <si>
    <r>
      <rPr>
        <sz val="10"/>
        <rFont val="Arial"/>
        <family val="0"/>
        <charset val="1"/>
      </rPr>
      <t xml:space="preserve">В памяти </t>
    </r>
    <r>
      <rPr>
        <b val="true"/>
        <sz val="10"/>
        <rFont val="Arial"/>
        <family val="0"/>
        <charset val="1"/>
      </rPr>
      <t xml:space="preserve">15</t>
    </r>
    <r>
      <rPr>
        <sz val="10"/>
        <rFont val="Arial"/>
        <family val="0"/>
        <charset val="1"/>
      </rPr>
      <t xml:space="preserve">.</t>
    </r>
  </si>
  <si>
    <t xml:space="preserve">TC-MEM-04</t>
  </si>
  <si>
    <t xml:space="preserve">Вычитание из памяти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</si>
  <si>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M−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</si>
  <si>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M−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</si>
  <si>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;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виден
2. Экран: </t>
    </r>
    <r>
      <rPr>
        <b val="true"/>
        <sz val="10"/>
        <rFont val="Arial"/>
        <family val="0"/>
        <charset val="1"/>
      </rPr>
      <t xml:space="preserve">7</t>
    </r>
  </si>
  <si>
    <r>
      <rPr>
        <sz val="10"/>
        <rFont val="Arial"/>
        <family val="0"/>
        <charset val="1"/>
      </rPr>
      <t xml:space="preserve">В памяти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.</t>
    </r>
  </si>
  <si>
    <t xml:space="preserve">TC-MEM-05</t>
  </si>
  <si>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 при пустой памяти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</si>
  <si>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M+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</si>
  <si>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Появился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;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 стали доступны
2. Экран: </t>
    </r>
    <r>
      <rPr>
        <b val="true"/>
        <sz val="10"/>
        <rFont val="Arial"/>
        <family val="0"/>
        <charset val="1"/>
      </rPr>
      <t xml:space="preserve">7</t>
    </r>
  </si>
  <si>
    <t xml:space="preserve">TC-MEM-06</t>
  </si>
  <si>
    <r>
      <rPr>
        <b val="true"/>
        <sz val="10"/>
        <rFont val="Arial"/>
        <family val="0"/>
        <charset val="1"/>
      </rPr>
      <t xml:space="preserve">M−</t>
    </r>
    <r>
      <rPr>
        <sz val="10"/>
        <rFont val="Arial"/>
        <family val="0"/>
        <charset val="1"/>
      </rPr>
      <t xml:space="preserve"> при пустой памяти</t>
    </r>
  </si>
  <si>
    <r>
      <rPr>
        <sz val="10"/>
        <rFont val="Arial"/>
        <family val="0"/>
        <charset val="1"/>
      </rPr>
      <t xml:space="preserve">1. Появился индикатор </t>
    </r>
    <r>
      <rPr>
        <b val="true"/>
        <sz val="10"/>
        <rFont val="Arial"/>
        <family val="0"/>
        <charset val="1"/>
      </rPr>
      <t xml:space="preserve">M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-3</t>
    </r>
  </si>
  <si>
    <r>
      <rPr>
        <sz val="10"/>
        <rFont val="Arial"/>
        <family val="0"/>
        <charset val="1"/>
      </rPr>
      <t xml:space="preserve">В памяти </t>
    </r>
    <r>
      <rPr>
        <b val="true"/>
        <sz val="10"/>
        <rFont val="Arial"/>
        <family val="0"/>
        <charset val="1"/>
      </rPr>
      <t xml:space="preserve">-3</t>
    </r>
    <r>
      <rPr>
        <sz val="10"/>
        <rFont val="Arial"/>
        <family val="0"/>
        <charset val="1"/>
      </rPr>
      <t xml:space="preserve">.</t>
    </r>
  </si>
  <si>
    <t xml:space="preserve">TC-MEM-07</t>
  </si>
  <si>
    <t xml:space="preserve">Очистка памяти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</si>
  <si>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</si>
  <si>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ОП-1, затем набрать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 — на экране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 и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</si>
  <si>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MC</t>
    </r>
  </si>
  <si>
    <r>
      <rPr>
        <sz val="10"/>
        <rFont val="Arial"/>
        <family val="0"/>
        <charset val="1"/>
      </rPr>
      <t xml:space="preserve">1.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пропал;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 недоступны; экран не изменился: </t>
    </r>
    <r>
      <rPr>
        <b val="true"/>
        <sz val="10"/>
        <rFont val="Arial"/>
        <family val="0"/>
        <charset val="1"/>
      </rPr>
      <t xml:space="preserve">10</t>
    </r>
  </si>
  <si>
    <t xml:space="preserve">TC-MEM-08</t>
  </si>
  <si>
    <t xml:space="preserve">Значение из памяти как второй операнд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</si>
  <si>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</si>
  <si>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MR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</si>
  <si>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Выражение: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22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+ 10 =</t>
    </r>
  </si>
  <si>
    <r>
      <rPr>
        <sz val="10"/>
        <rFont val="Arial"/>
        <family val="0"/>
        <charset val="1"/>
      </rPr>
      <t xml:space="preserve">В памяти по-прежнему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; в журнале запись </t>
    </r>
    <r>
      <rPr>
        <b val="true"/>
        <sz val="10"/>
        <rFont val="Arial"/>
        <family val="0"/>
        <charset val="1"/>
      </rPr>
      <t xml:space="preserve">12 + 10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22</t>
    </r>
    <r>
      <rPr>
        <sz val="10"/>
        <rFont val="Arial"/>
        <family val="0"/>
        <charset val="1"/>
      </rPr>
      <t xml:space="preserve">.</t>
    </r>
  </si>
  <si>
    <t xml:space="preserve">TC-MEM-09</t>
  </si>
  <si>
    <t xml:space="preserve">Дробные числа в памяти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</si>
  <si>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), «Ввод» (дробные числа)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</si>
  <si>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2,5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
</t>
    </r>
    <r>
      <rPr>
        <sz val="10"/>
        <rFont val="Arial"/>
        <family val="0"/>
        <charset val="1"/>
      </rPr>
      <t xml:space="preserve">2. Набрать </t>
    </r>
    <r>
      <rPr>
        <b val="true"/>
        <sz val="10"/>
        <rFont val="Arial"/>
        <family val="0"/>
        <charset val="1"/>
      </rPr>
      <t xml:space="preserve">1,5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M+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</si>
  <si>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виден
2. Экран: </t>
    </r>
    <r>
      <rPr>
        <b val="true"/>
        <sz val="10"/>
        <rFont val="Arial"/>
        <family val="0"/>
        <charset val="1"/>
      </rPr>
      <t xml:space="preserve">1,5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</si>
  <si>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В памяти </t>
    </r>
    <r>
      <rPr>
        <b val="true"/>
        <sz val="10"/>
        <rFont val="Arial"/>
        <family val="0"/>
        <charset val="1"/>
      </rPr>
      <t xml:space="preserve">4</t>
    </r>
    <r>
      <rPr>
        <sz val="10"/>
        <rFont val="Arial"/>
        <family val="0"/>
        <charset val="1"/>
      </rPr>
      <t xml:space="preserve">.</t>
    </r>
  </si>
  <si>
    <t xml:space="preserve">TC-MEM-10</t>
  </si>
  <si>
    <t xml:space="preserve">Ввод после операции с памятью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</si>
  <si>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7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</si>
  <si>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10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 (не </t>
    </r>
    <r>
      <rPr>
        <b val="true"/>
        <sz val="10"/>
        <rFont val="Arial"/>
        <family val="0"/>
        <charset val="1"/>
      </rPr>
      <t xml:space="preserve">107</t>
    </r>
    <r>
      <rPr>
        <sz val="10"/>
        <rFont val="Arial"/>
        <family val="0"/>
        <charset val="1"/>
      </rPr>
      <t xml:space="preserve">) — после операции с памятью начинается новое число</t>
    </r>
  </si>
  <si>
    <r>
      <rPr>
        <sz val="10"/>
        <rFont val="Arial"/>
        <family val="0"/>
        <charset val="1"/>
      </rPr>
      <t xml:space="preserve">В памяти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; набирается число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.</t>
    </r>
  </si>
  <si>
    <t xml:space="preserve">TC-ERR-01</t>
  </si>
  <si>
    <t xml:space="preserve">Корень из отрицательного числа</t>
  </si>
  <si>
    <t xml:space="preserve">Ошибки</t>
  </si>
  <si>
    <t xml:space="preserve">«Ошибки» (сообщение «Недопустимый ввод»)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</si>
  <si>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+/−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²√x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</si>
  <si>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-9
</t>
    </r>
    <r>
      <rPr>
        <sz val="10"/>
        <rFont val="Arial"/>
        <family val="0"/>
        <charset val="1"/>
      </rPr>
      <t xml:space="preserve">2. Экран: «Недопустимый ввод»; выражение: </t>
    </r>
    <r>
      <rPr>
        <b val="true"/>
        <sz val="10"/>
        <rFont val="Arial"/>
        <family val="0"/>
        <charset val="1"/>
      </rPr>
      <t xml:space="preserve">√(-9)</t>
    </r>
  </si>
  <si>
    <r>
      <rPr>
        <sz val="10"/>
        <rFont val="Arial"/>
        <family val="0"/>
        <charset val="1"/>
      </rPr>
      <t xml:space="preserve">Калькулятор в состоянии ошибки: доступны только цифры, </t>
    </r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 (см. TC-ERR-05).</t>
    </r>
  </si>
  <si>
    <t xml:space="preserve">TC-ERR-02</t>
  </si>
  <si>
    <t xml:space="preserve">Деление на ноль</t>
  </si>
  <si>
    <t xml:space="preserve">«Ошибки» (сообщение «Деление на ноль невозможно»)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</si>
  <si>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÷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0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</si>
  <si>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Выражение: </t>
    </r>
    <r>
      <rPr>
        <b val="true"/>
        <sz val="10"/>
        <rFont val="Arial"/>
        <family val="0"/>
        <charset val="1"/>
      </rPr>
      <t xml:space="preserve">5 ÷
</t>
    </r>
    <r>
      <rPr>
        <sz val="10"/>
        <rFont val="Arial"/>
        <family val="0"/>
        <charset val="1"/>
      </rPr>
      <t xml:space="preserve">2. Экран: «Деление на ноль невозможно»</t>
    </r>
  </si>
  <si>
    <r>
      <rPr>
        <sz val="10"/>
        <rFont val="Arial"/>
        <family val="0"/>
        <charset val="1"/>
      </rPr>
      <t xml:space="preserve">Калькулятор в состоянии ошибки: доступны только цифры, </t>
    </r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.</t>
    </r>
  </si>
  <si>
    <t xml:space="preserve">TC-ERR-03</t>
  </si>
  <si>
    <t xml:space="preserve">Деление нуля на ноль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</si>
  <si>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÷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=</t>
    </r>
  </si>
  <si>
    <t xml:space="preserve">1. Экран: «Деление на ноль невозможно»</t>
  </si>
  <si>
    <t xml:space="preserve">TC-ERR-04</t>
  </si>
  <si>
    <t xml:space="preserve">Обратное значение от нуля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</si>
  <si>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¹⁄ₓ</t>
    </r>
  </si>
  <si>
    <r>
      <rPr>
        <sz val="10"/>
        <rFont val="Arial"/>
        <family val="0"/>
        <charset val="1"/>
      </rPr>
      <t xml:space="preserve">1. Экран: «Деление на ноль невозможно»; выражение: </t>
    </r>
    <r>
      <rPr>
        <b val="true"/>
        <sz val="10"/>
        <rFont val="Arial"/>
        <family val="0"/>
        <charset val="1"/>
      </rPr>
      <t xml:space="preserve">1/(0)</t>
    </r>
  </si>
  <si>
    <t xml:space="preserve">TC-ERR-05</t>
  </si>
  <si>
    <t xml:space="preserve">Доступность кнопок при ошибке</t>
  </si>
  <si>
    <r>
      <rPr>
        <sz val="10"/>
        <rFont val="Arial"/>
        <family val="0"/>
        <charset val="1"/>
      </rPr>
      <t xml:space="preserve">«Ошибки» (при ошибке доступны только цифры, </t>
    </r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</si>
  <si>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ОП-1, затем на экране ошибка: набрать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 — экран «Недопустимый ввод».</t>
    </r>
  </si>
  <si>
    <r>
      <rPr>
        <sz val="10"/>
        <rFont val="Arial"/>
        <family val="0"/>
        <charset val="1"/>
      </rPr>
      <t xml:space="preserve">1. Посмотреть на кнопки операций и функций
2. Посмотреть на панель памяти
3. Посмотреть на остальные кнопки
4. Нажать </t>
    </r>
    <r>
      <rPr>
        <b val="true"/>
        <sz val="10"/>
        <rFont val="Arial"/>
        <family val="0"/>
        <charset val="1"/>
      </rPr>
      <t xml:space="preserve">+</t>
    </r>
  </si>
  <si>
    <r>
      <rPr>
        <sz val="10"/>
        <rFont val="Arial"/>
        <family val="0"/>
        <charset val="1"/>
      </rPr>
      <t xml:space="preserve">1. Недоступны: </t>
    </r>
    <r>
      <rPr>
        <b val="true"/>
        <sz val="10"/>
        <rFont val="Arial"/>
        <family val="0"/>
        <charset val="1"/>
      </rPr>
      <t xml:space="preserve">%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¹⁄ₓ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x²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÷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×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,
</t>
    </r>
    <r>
      <rPr>
        <sz val="10"/>
        <rFont val="Arial"/>
        <family val="0"/>
        <charset val="1"/>
      </rPr>
      <t xml:space="preserve">2. Недоступны: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MS
</t>
    </r>
    <r>
      <rPr>
        <sz val="10"/>
        <rFont val="Arial"/>
        <family val="0"/>
        <charset val="1"/>
      </rPr>
      <t xml:space="preserve">3. Доступны: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–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=
</t>
    </r>
    <r>
      <rPr>
        <sz val="10"/>
        <rFont val="Arial"/>
        <family val="0"/>
        <charset val="1"/>
      </rPr>
      <t xml:space="preserve">4. Ничего не происходит: экран «Недопустимый ввод», выражение </t>
    </r>
    <r>
      <rPr>
        <b val="true"/>
        <sz val="10"/>
        <rFont val="Arial"/>
        <family val="0"/>
        <charset val="1"/>
      </rPr>
      <t xml:space="preserve">√(-9)</t>
    </r>
  </si>
  <si>
    <t xml:space="preserve">Калькулятор по-прежнему в состоянии ошибки.</t>
  </si>
  <si>
    <t xml:space="preserve">TC-ERR-06</t>
  </si>
  <si>
    <t xml:space="preserve">Цифра сбрасывает ошибку</t>
  </si>
  <si>
    <t xml:space="preserve">«Ошибки»</t>
  </si>
  <si>
    <r>
      <rPr>
        <sz val="10"/>
        <rFont val="Arial"/>
        <family val="0"/>
        <charset val="1"/>
      </rPr>
      <t xml:space="preserve">ОП-1, затем на экране ошибка: набрать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</si>
  <si>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7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</si>
  <si>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; выражение пустое; все кнопки снова доступны
2. Экран: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7 + 3 =</t>
    </r>
  </si>
  <si>
    <r>
      <rPr>
        <sz val="10"/>
        <rFont val="Arial"/>
        <family val="0"/>
        <charset val="1"/>
      </rPr>
      <t xml:space="preserve">Калькулятор работает в обычном режиме; в журнале запись </t>
    </r>
    <r>
      <rPr>
        <b val="true"/>
        <sz val="10"/>
        <rFont val="Arial"/>
        <family val="0"/>
        <charset val="1"/>
      </rPr>
      <t xml:space="preserve">7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.</t>
    </r>
  </si>
  <si>
    <t xml:space="preserve">TC-ERR-07</t>
  </si>
  <si>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 сбрасывают ошибку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</si>
  <si>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CE
</t>
    </r>
    <r>
      <rPr>
        <sz val="10"/>
        <rFont val="Arial"/>
        <family val="0"/>
        <charset val="1"/>
      </rPr>
      <t xml:space="preserve">3. Повторить шаг 1, нажать </t>
    </r>
    <r>
      <rPr>
        <b val="true"/>
        <sz val="10"/>
        <rFont val="Arial"/>
        <family val="0"/>
        <charset val="1"/>
      </rPr>
      <t xml:space="preserve">C
</t>
    </r>
    <r>
      <rPr>
        <sz val="10"/>
        <rFont val="Arial"/>
        <family val="0"/>
        <charset val="1"/>
      </rPr>
      <t xml:space="preserve">4. Повторить шаг 1, нажать </t>
    </r>
    <r>
      <rPr>
        <b val="true"/>
        <sz val="10"/>
        <rFont val="Arial"/>
        <family val="0"/>
        <charset val="1"/>
      </rPr>
      <t xml:space="preserve">⌫
</t>
    </r>
    <r>
      <rPr>
        <sz val="10"/>
        <rFont val="Arial"/>
        <family val="0"/>
        <charset val="1"/>
      </rPr>
      <t xml:space="preserve">5. Повторить шаг 1,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</si>
  <si>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«Недопустимый ввод»
2.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пустое; все кнопки доступны
3.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пустое; все кнопки доступны
4.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пустое; все кнопки доступны
5.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пустое; все кнопки доступны</t>
    </r>
  </si>
  <si>
    <t xml:space="preserve">Калькулятор в исходном состоянии; журнал пуст.</t>
  </si>
  <si>
    <t xml:space="preserve">TC-ERR-08</t>
  </si>
  <si>
    <t xml:space="preserve">Физическая клавиатура при ошибке</t>
  </si>
  <si>
    <t xml:space="preserve">«Ошибки», «Клавиатура»</t>
  </si>
  <si>
    <r>
      <rPr>
        <sz val="10"/>
        <rFont val="Arial"/>
        <family val="0"/>
        <charset val="1"/>
      </rPr>
      <t xml:space="preserve">ОП-1, затем на экране ошибка: набрать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. Фокус — на странице калькулятора.</t>
    </r>
  </si>
  <si>
    <r>
      <rPr>
        <sz val="10"/>
        <rFont val="Arial"/>
        <family val="0"/>
        <charset val="1"/>
      </rPr>
      <t xml:space="preserve">1. Нажать на клавиатуре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-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*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/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%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.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r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q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@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F9
</t>
    </r>
    <r>
      <rPr>
        <sz val="10"/>
        <rFont val="Arial"/>
        <family val="0"/>
        <charset val="1"/>
      </rPr>
      <t xml:space="preserve">2. Нажать на клавиатуре </t>
    </r>
    <r>
      <rPr>
        <b val="true"/>
        <sz val="10"/>
        <rFont val="Arial"/>
        <family val="0"/>
        <charset val="1"/>
      </rPr>
      <t xml:space="preserve">5</t>
    </r>
  </si>
  <si>
    <r>
      <rPr>
        <sz val="10"/>
        <rFont val="Arial"/>
        <family val="0"/>
        <charset val="1"/>
      </rPr>
      <t xml:space="preserve">1. Ничего не происходит: экран «Недопустимый ввод», выражение </t>
    </r>
    <r>
      <rPr>
        <b val="true"/>
        <sz val="10"/>
        <rFont val="Arial"/>
        <family val="0"/>
        <charset val="1"/>
      </rPr>
      <t xml:space="preserve">√(-9)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выражение пустое</t>
    </r>
  </si>
  <si>
    <r>
      <rPr>
        <sz val="10"/>
        <rFont val="Arial"/>
        <family val="0"/>
        <charset val="1"/>
      </rPr>
      <t xml:space="preserve">Калькулятор работает в обычном режиме, набирается число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</t>
    </r>
  </si>
  <si>
    <t xml:space="preserve">TC-ERR-09</t>
  </si>
  <si>
    <t xml:space="preserve">Сброс ошибки сохраняет память и журнал</t>
  </si>
  <si>
    <r>
      <rPr>
        <sz val="10"/>
        <rFont val="Arial"/>
        <family val="0"/>
        <charset val="1"/>
      </rPr>
      <t xml:space="preserve">«Ошибки», «Операции» (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</si>
  <si>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ОП-1, затем:
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 — в журнале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
2. Набрать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 —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виден.
3. Набрать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 — экран «Недопустимый ввод».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</si>
  <si>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виден; в журнале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7</t>
    </r>
  </si>
  <si>
    <t xml:space="preserve">TC-FMT-01</t>
  </si>
  <si>
    <t xml:space="preserve">Разбиение результата на разряды</t>
  </si>
  <si>
    <t xml:space="preserve">Формат вывода</t>
  </si>
  <si>
    <t xml:space="preserve">«Ввод» (разбиение на разряды)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</si>
  <si>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999999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</si>
  <si>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1 000 000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999 999 + 1 =</t>
    </r>
  </si>
  <si>
    <r>
      <rPr>
        <sz val="10"/>
        <rFont val="Arial"/>
        <family val="0"/>
        <charset val="1"/>
      </rPr>
      <t xml:space="preserve">В журнале запись </t>
    </r>
    <r>
      <rPr>
        <b val="true"/>
        <sz val="10"/>
        <rFont val="Arial"/>
        <family val="0"/>
        <charset val="1"/>
      </rPr>
      <t xml:space="preserve">999 999 + 1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1 000 000</t>
    </r>
    <r>
      <rPr>
        <sz val="10"/>
        <rFont val="Arial"/>
        <family val="0"/>
        <charset val="1"/>
      </rPr>
      <t xml:space="preserve">.</t>
    </r>
  </si>
  <si>
    <t xml:space="preserve">TC-FMT-02</t>
  </si>
  <si>
    <t xml:space="preserve">Разбиение на разряды отрицательного числа</t>
  </si>
  <si>
    <t xml:space="preserve">«Ввод» (разбиение на разряды, отрицательные числа)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</si>
  <si>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1000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−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1234567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</si>
  <si>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-1 233 567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1 000 − 1 234 567 =</t>
    </r>
  </si>
  <si>
    <r>
      <rPr>
        <sz val="10"/>
        <rFont val="Arial"/>
        <family val="0"/>
        <charset val="1"/>
      </rPr>
      <t xml:space="preserve">В журнале запись </t>
    </r>
    <r>
      <rPr>
        <b val="true"/>
        <sz val="10"/>
        <rFont val="Arial"/>
        <family val="0"/>
        <charset val="1"/>
      </rPr>
      <t xml:space="preserve">1 000 − 1 234 567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-1 233 567</t>
    </r>
    <r>
      <rPr>
        <sz val="10"/>
        <rFont val="Arial"/>
        <family val="0"/>
        <charset val="1"/>
      </rPr>
      <t xml:space="preserve">.</t>
    </r>
  </si>
  <si>
    <t xml:space="preserve">TC-FMT-03</t>
  </si>
  <si>
    <t xml:space="preserve">Большое число ниже порога экспоненциальной формы</t>
  </si>
  <si>
    <r>
      <rPr>
        <sz val="10"/>
        <rFont val="Arial"/>
        <family val="0"/>
        <charset val="1"/>
      </rPr>
      <t xml:space="preserve">«Операции» (экспоненциальная форма, пример </t>
    </r>
    <r>
      <rPr>
        <b val="true"/>
        <sz val="10"/>
        <rFont val="Arial"/>
        <family val="0"/>
        <charset val="1"/>
      </rPr>
      <t xml:space="preserve">1e+16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</si>
  <si>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999999999999999</t>
    </r>
    <r>
      <rPr>
        <sz val="10"/>
        <rFont val="Arial"/>
        <family val="0"/>
        <charset val="1"/>
      </rPr>
      <t xml:space="preserve"> (15 девяток), нажать </t>
    </r>
    <r>
      <rPr>
        <b val="true"/>
        <sz val="10"/>
        <rFont val="Arial"/>
        <family val="0"/>
        <charset val="1"/>
      </rPr>
      <t xml:space="preserve">×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</si>
  <si>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9 999 999 999 999 990</t>
    </r>
    <r>
      <rPr>
        <sz val="10"/>
        <rFont val="Arial"/>
        <family val="0"/>
        <charset val="1"/>
      </rPr>
      <t xml:space="preserve"> — число меньше 10¹⁶ выводится обычным образом</t>
    </r>
  </si>
  <si>
    <r>
      <rPr>
        <sz val="10"/>
        <rFont val="Arial"/>
        <family val="0"/>
        <charset val="1"/>
      </rPr>
      <t xml:space="preserve">В журнале запись </t>
    </r>
    <r>
      <rPr>
        <b val="true"/>
        <sz val="10"/>
        <rFont val="Arial"/>
        <family val="0"/>
        <charset val="1"/>
      </rPr>
      <t xml:space="preserve">999 999 999 999 999 × 10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9 999 999 999 999 990</t>
    </r>
    <r>
      <rPr>
        <sz val="10"/>
        <rFont val="Arial"/>
        <family val="0"/>
        <charset val="1"/>
      </rPr>
      <t xml:space="preserve">.</t>
    </r>
  </si>
  <si>
    <t xml:space="preserve">TC-FMT-04</t>
  </si>
  <si>
    <t xml:space="preserve">Экспоненциальная форма очень большого числа</t>
  </si>
  <si>
    <r>
      <rPr>
        <sz val="10"/>
        <rFont val="Arial"/>
        <family val="0"/>
        <charset val="1"/>
      </rPr>
      <t xml:space="preserve">«Операции» (экспоненциальная форма: </t>
    </r>
    <r>
      <rPr>
        <b val="true"/>
        <sz val="10"/>
        <rFont val="Arial"/>
        <family val="0"/>
        <charset val="1"/>
      </rPr>
      <t xml:space="preserve">1e+16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</si>
  <si>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100000000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×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100000000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=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×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</si>
  <si>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Выражение: </t>
    </r>
    <r>
      <rPr>
        <b val="true"/>
        <sz val="10"/>
        <rFont val="Arial"/>
        <family val="0"/>
        <charset val="1"/>
      </rPr>
      <t xml:space="preserve">100 000 000 ×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1e+16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100 000 000 × 100 000 000 =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1e+17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1e+16 × 10 =</t>
    </r>
    <r>
      <rPr>
        <sz val="10"/>
        <rFont val="Arial"/>
        <family val="0"/>
        <charset val="1"/>
      </rPr>
      <t xml:space="preserve"> — с числом в экспоненциальной форме можно продолжать вычисления</t>
    </r>
  </si>
  <si>
    <r>
      <rPr>
        <sz val="10"/>
        <rFont val="Arial"/>
        <family val="0"/>
        <charset val="1"/>
      </rPr>
      <t xml:space="preserve">В журнале две записи: </t>
    </r>
    <r>
      <rPr>
        <b val="true"/>
        <sz val="10"/>
        <rFont val="Arial"/>
        <family val="0"/>
        <charset val="1"/>
      </rPr>
      <t xml:space="preserve">1e+16 × 10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1e+17</t>
    </r>
    <r>
      <rPr>
        <sz val="10"/>
        <rFont val="Arial"/>
        <family val="0"/>
        <charset val="1"/>
      </rPr>
      <t xml:space="preserve"> (сверху) и </t>
    </r>
    <r>
      <rPr>
        <b val="true"/>
        <sz val="10"/>
        <rFont val="Arial"/>
        <family val="0"/>
        <charset val="1"/>
      </rPr>
      <t xml:space="preserve">100 000 000 × 100 000 000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1e+16</t>
    </r>
    <r>
      <rPr>
        <sz val="10"/>
        <rFont val="Arial"/>
        <family val="0"/>
        <charset val="1"/>
      </rPr>
      <t xml:space="preserve">.</t>
    </r>
  </si>
  <si>
    <t xml:space="preserve">TC-FMT-05</t>
  </si>
  <si>
    <t xml:space="preserve">Экспоненциальная форма очень маленького числа</t>
  </si>
  <si>
    <t xml:space="preserve">«Операции» (экспоненциальная форма)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</si>
  <si>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÷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100000000000000</t>
    </r>
    <r>
      <rPr>
        <sz val="10"/>
        <rFont val="Arial"/>
        <family val="0"/>
        <charset val="1"/>
      </rPr>
      <t xml:space="preserve"> (единица и 14 нулей),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</si>
  <si>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1e-14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 ÷ 100 000 000 000 000 =</t>
    </r>
  </si>
  <si>
    <r>
      <rPr>
        <sz val="10"/>
        <rFont val="Arial"/>
        <family val="0"/>
        <charset val="1"/>
      </rPr>
      <t xml:space="preserve">В журнале запись </t>
    </r>
    <r>
      <rPr>
        <b val="true"/>
        <sz val="10"/>
        <rFont val="Arial"/>
        <family val="0"/>
        <charset val="1"/>
      </rPr>
      <t xml:space="preserve">1 ÷ 100 000 000 000 000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1e-14</t>
    </r>
    <r>
      <rPr>
        <sz val="10"/>
        <rFont val="Arial"/>
        <family val="0"/>
        <charset val="1"/>
      </rPr>
      <t xml:space="preserve">.</t>
    </r>
  </si>
  <si>
    <t xml:space="preserve">TC-HIS-01</t>
  </si>
  <si>
    <t xml:space="preserve">Пустой журнал</t>
  </si>
  <si>
    <t xml:space="preserve">«Журнал»</t>
  </si>
  <si>
    <t xml:space="preserve">1. Посмотреть на журнал</t>
  </si>
  <si>
    <t xml:space="preserve">1. Текст «Журнал пока пуст»; кнопка с корзиной недоступна</t>
  </si>
  <si>
    <t xml:space="preserve">Журнал пуст.</t>
  </si>
  <si>
    <t xml:space="preserve">TC-HIS-02</t>
  </si>
  <si>
    <t xml:space="preserve">Вычисление попадает в журнал</t>
  </si>
  <si>
    <t xml:space="preserve">«Журнал» (каждое вычисление попадает в журнал)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</si>
  <si>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30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</si>
  <si>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Журнал пуст
2. В журнале одна запись: выражение </t>
    </r>
    <r>
      <rPr>
        <b val="true"/>
        <sz val="10"/>
        <rFont val="Arial"/>
        <family val="0"/>
        <charset val="1"/>
      </rPr>
      <t xml:space="preserve">12 + 30 =</t>
    </r>
    <r>
      <rPr>
        <sz val="10"/>
        <rFont val="Arial"/>
        <family val="0"/>
        <charset val="1"/>
      </rPr>
      <t xml:space="preserve">, результат </t>
    </r>
    <r>
      <rPr>
        <b val="true"/>
        <sz val="10"/>
        <rFont val="Arial"/>
        <family val="0"/>
        <charset val="1"/>
      </rPr>
      <t xml:space="preserve">42</t>
    </r>
    <r>
      <rPr>
        <sz val="10"/>
        <rFont val="Arial"/>
        <family val="0"/>
        <charset val="1"/>
      </rPr>
      <t xml:space="preserve">; кнопка с корзиной доступна</t>
    </r>
  </si>
  <si>
    <t xml:space="preserve">В журнале одна запись.</t>
  </si>
  <si>
    <t xml:space="preserve">TC-HIS-03</t>
  </si>
  <si>
    <t xml:space="preserve">Новые записи сверху</t>
  </si>
  <si>
    <t xml:space="preserve">«Журнал» (новые сверху)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</si>
  <si>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
</t>
    </r>
    <r>
      <rPr>
        <sz val="10"/>
        <rFont val="Arial"/>
        <family val="0"/>
        <charset val="1"/>
      </rPr>
      <t xml:space="preserve">2.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</si>
  <si>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В журнале запись </t>
    </r>
    <r>
      <rPr>
        <b val="true"/>
        <sz val="10"/>
        <rFont val="Arial"/>
        <family val="0"/>
        <charset val="1"/>
      </rPr>
      <t xml:space="preserve">1 + 1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2
</t>
    </r>
    <r>
      <rPr>
        <sz val="10"/>
        <rFont val="Arial"/>
        <family val="0"/>
        <charset val="1"/>
      </rPr>
      <t xml:space="preserve">2. В журнале две записи, сверху вниз: </t>
    </r>
    <r>
      <rPr>
        <b val="true"/>
        <sz val="10"/>
        <rFont val="Arial"/>
        <family val="0"/>
        <charset val="1"/>
      </rPr>
      <t xml:space="preserve">2 + 2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4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1 + 1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2</t>
    </r>
  </si>
  <si>
    <t xml:space="preserve">В журнале две записи.</t>
  </si>
  <si>
    <t xml:space="preserve">TC-HIS-04</t>
  </si>
  <si>
    <t xml:space="preserve">Промежуточные вычисления цепочки</t>
  </si>
  <si>
    <t xml:space="preserve">«Журнал», «Операции» (цепочка вычислений)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</si>
  <si>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×
</t>
    </r>
    <r>
      <rPr>
        <sz val="10"/>
        <rFont val="Arial"/>
        <family val="0"/>
        <charset val="1"/>
      </rPr>
      <t xml:space="preserve">2. Набрать </t>
    </r>
    <r>
      <rPr>
        <b val="true"/>
        <sz val="10"/>
        <rFont val="Arial"/>
        <family val="0"/>
        <charset val="1"/>
      </rPr>
      <t xml:space="preserve">4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</si>
  <si>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В журнале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В журнале две записи, сверху вниз: </t>
    </r>
    <r>
      <rPr>
        <b val="true"/>
        <sz val="10"/>
        <rFont val="Arial"/>
        <family val="0"/>
        <charset val="1"/>
      </rPr>
      <t xml:space="preserve">5 × 4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20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</si>
  <si>
    <t xml:space="preserve">TC-HIS-05</t>
  </si>
  <si>
    <t xml:space="preserve">Не более 30 записей</t>
  </si>
  <si>
    <t xml:space="preserve">«Журнал» (до 30 последних записей)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</si>
  <si>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 ещё 29 раз
3.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 ещё раз (31-е вычисление)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</si>
  <si>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; в журнале 1 запись
2. Экран: </t>
    </r>
    <r>
      <rPr>
        <b val="true"/>
        <sz val="10"/>
        <rFont val="Arial"/>
        <family val="0"/>
        <charset val="1"/>
      </rPr>
      <t xml:space="preserve">31</t>
    </r>
    <r>
      <rPr>
        <sz val="10"/>
        <rFont val="Arial"/>
        <family val="0"/>
        <charset val="1"/>
      </rPr>
      <t xml:space="preserve">; в журнале 30 записей: сверху </t>
    </r>
    <r>
      <rPr>
        <b val="true"/>
        <sz val="10"/>
        <rFont val="Arial"/>
        <family val="0"/>
        <charset val="1"/>
      </rPr>
      <t xml:space="preserve">30 + 1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31</t>
    </r>
    <r>
      <rPr>
        <sz val="10"/>
        <rFont val="Arial"/>
        <family val="0"/>
        <charset val="1"/>
      </rPr>
      <t xml:space="preserve">, внизу </t>
    </r>
    <r>
      <rPr>
        <b val="true"/>
        <sz val="10"/>
        <rFont val="Arial"/>
        <family val="0"/>
        <charset val="1"/>
      </rPr>
      <t xml:space="preserve">1 + 1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2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32</t>
    </r>
    <r>
      <rPr>
        <sz val="10"/>
        <rFont val="Arial"/>
        <family val="0"/>
        <charset val="1"/>
      </rPr>
      <t xml:space="preserve">; в журнале по-прежнему 30 записей: сверху </t>
    </r>
    <r>
      <rPr>
        <b val="true"/>
        <sz val="10"/>
        <rFont val="Arial"/>
        <family val="0"/>
        <charset val="1"/>
      </rPr>
      <t xml:space="preserve">31 + 1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32</t>
    </r>
    <r>
      <rPr>
        <sz val="10"/>
        <rFont val="Arial"/>
        <family val="0"/>
        <charset val="1"/>
      </rPr>
      <t xml:space="preserve">, внизу </t>
    </r>
    <r>
      <rPr>
        <b val="true"/>
        <sz val="10"/>
        <rFont val="Arial"/>
        <family val="0"/>
        <charset val="1"/>
      </rPr>
      <t xml:space="preserve">2 + 1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; записи </t>
    </r>
    <r>
      <rPr>
        <b val="true"/>
        <sz val="10"/>
        <rFont val="Arial"/>
        <family val="0"/>
        <charset val="1"/>
      </rPr>
      <t xml:space="preserve">1 + 1 =</t>
    </r>
    <r>
      <rPr>
        <sz val="10"/>
        <rFont val="Arial"/>
        <family val="0"/>
        <charset val="1"/>
      </rPr>
      <t xml:space="preserve"> больше нет</t>
    </r>
  </si>
  <si>
    <t xml:space="preserve">В журнале 30 записей.</t>
  </si>
  <si>
    <t xml:space="preserve">TC-HIS-06</t>
  </si>
  <si>
    <t xml:space="preserve">Возврат результата из журнала</t>
  </si>
  <si>
    <t xml:space="preserve">«Журнал» (щелчок по записи возвращает результат)</t>
  </si>
  <si>
    <r>
      <rPr>
        <sz val="10"/>
        <rFont val="Arial"/>
        <family val="0"/>
        <charset val="1"/>
      </rPr>
      <t xml:space="preserve">ОП-1, затем:
1. Набрать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.
2.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.
3. Нажать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</si>
  <si>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Щёлкнуть по записи </t>
    </r>
    <r>
      <rPr>
        <b val="true"/>
        <sz val="10"/>
        <rFont val="Arial"/>
        <family val="0"/>
        <charset val="1"/>
      </rPr>
      <t xml:space="preserve">1 + 1 =</t>
    </r>
    <r>
      <rPr>
        <sz val="10"/>
        <rFont val="Arial"/>
        <family val="0"/>
        <charset val="1"/>
      </rPr>
      <t xml:space="preserve"> в журнале
2. Нажать </t>
    </r>
    <r>
      <rPr>
        <b val="true"/>
        <sz val="10"/>
        <rFont val="Arial"/>
        <family val="0"/>
        <charset val="1"/>
      </rPr>
      <t xml:space="preserve">×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</si>
  <si>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 + 1 =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6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 × 3 =</t>
    </r>
  </si>
  <si>
    <r>
      <rPr>
        <sz val="10"/>
        <rFont val="Arial"/>
        <family val="0"/>
        <charset val="1"/>
      </rPr>
      <t xml:space="preserve">В журнале три записи, сверху вниз: </t>
    </r>
    <r>
      <rPr>
        <b val="true"/>
        <sz val="10"/>
        <rFont val="Arial"/>
        <family val="0"/>
        <charset val="1"/>
      </rPr>
      <t xml:space="preserve">2 ×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6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2 + 2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4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1 + 1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.</t>
    </r>
  </si>
  <si>
    <t xml:space="preserve">TC-HIS-07</t>
  </si>
  <si>
    <t xml:space="preserve">Очистка журнала</t>
  </si>
  <si>
    <t xml:space="preserve">«Журнал» (кнопка с корзиной)</t>
  </si>
  <si>
    <r>
      <rPr>
        <sz val="10"/>
        <rFont val="Arial"/>
        <family val="0"/>
        <charset val="1"/>
      </rPr>
      <t xml:space="preserve">ОП-1, затем:
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 — в журнале одна запись.
2. Набрать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 —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виден.</t>
    </r>
  </si>
  <si>
    <r>
      <rPr>
        <sz val="10"/>
        <rFont val="Arial"/>
        <family val="0"/>
        <charset val="1"/>
      </rPr>
      <t xml:space="preserve">1. Нажать кнопку с корзиной в журнале
2. Нажать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</si>
  <si>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Текст «Журнал пока пуст»; кнопка с корзиной недоступна; экран не изменился: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;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виден
2. Экран: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 — очистка журнала не затронула память</t>
    </r>
  </si>
  <si>
    <r>
      <rPr>
        <sz val="10"/>
        <rFont val="Arial"/>
        <family val="0"/>
        <charset val="1"/>
      </rPr>
      <t xml:space="preserve">Журнал пуст; в памяти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.</t>
    </r>
  </si>
  <si>
    <t xml:space="preserve">TC-HIS-08</t>
  </si>
  <si>
    <t xml:space="preserve">Журнал на широком экране</t>
  </si>
  <si>
    <t xml:space="preserve">«Журнал» (на широком экране всегда виден справа)</t>
  </si>
  <si>
    <t xml:space="preserve">ОП-1; ширина окна 1024 px или больше.</t>
  </si>
  <si>
    <r>
      <rPr>
        <sz val="10"/>
        <rFont val="Arial"/>
        <family val="0"/>
        <charset val="1"/>
      </rPr>
      <t xml:space="preserve">1. Посмотреть на страницу
2.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</si>
  <si>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Журнал виден справа от калькулятора; в заголовке калькулятора нет кнопки журнала
2.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 сразу появилась в журнале</t>
    </r>
  </si>
  <si>
    <t xml:space="preserve">TC-HIS-09</t>
  </si>
  <si>
    <t xml:space="preserve">Журнал на узком экране</t>
  </si>
  <si>
    <t xml:space="preserve">«Журнал» (на узком экране открывается кнопкой в заголовке)</t>
  </si>
  <si>
    <r>
      <rPr>
        <sz val="10"/>
        <rFont val="Arial"/>
        <family val="0"/>
        <charset val="1"/>
      </rPr>
      <t xml:space="preserve">ОП-1; ширина окна 375 px (например, режим устройства iPhone в DevTools); выполнено вычисление: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.</t>
    </r>
  </si>
  <si>
    <t xml:space="preserve">1. Посмотреть на страницу
2. Нажать кнопку журнала
3. Нажать кнопку закрытия (×)
4. Открыть журнал снова и щёлкнуть по затемнённой области вне журнала</t>
  </si>
  <si>
    <r>
      <rPr>
        <sz val="10"/>
        <rFont val="Arial"/>
        <family val="0"/>
        <charset val="1"/>
      </rPr>
      <t xml:space="preserve">1. Журнал не виден; справа в заголовке «Стандартный» есть кнопка журнала
2. Журнал открылся поверх калькулятора; в нём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есть кнопка закрытия (×)
3. Журнал закрылся
4. Журнал закрылся</t>
    </r>
  </si>
  <si>
    <t xml:space="preserve">Журнал закрыт, в нём одна запись. Вернуть ширину окна не меньше 760 px (ОП-2).</t>
  </si>
  <si>
    <t xml:space="preserve">TC-HIS-10</t>
  </si>
  <si>
    <t xml:space="preserve">Выбор записи на узком экране</t>
  </si>
  <si>
    <r>
      <rPr>
        <sz val="10"/>
        <rFont val="Arial"/>
        <family val="0"/>
        <charset val="1"/>
      </rPr>
      <t xml:space="preserve">ОП-1; ширина окна 375 px; выполнено вычисление: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; затем нажать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.</t>
    </r>
  </si>
  <si>
    <t xml:space="preserve">1. Нажать кнопку журнала в заголовке
2. Щёлкнуть по записи</t>
  </si>
  <si>
    <r>
      <rPr>
        <sz val="10"/>
        <rFont val="Arial"/>
        <family val="0"/>
        <charset val="1"/>
      </rPr>
      <t xml:space="preserve">1. Журнал открылся, в нём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Журнал закрылся;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 + 3 =</t>
    </r>
  </si>
  <si>
    <r>
      <rPr>
        <sz val="10"/>
        <rFont val="Arial"/>
        <family val="0"/>
        <charset val="1"/>
      </rPr>
      <t xml:space="preserve">Журнал закрыт; на экране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 Вернуть ширину окна не меньше 760 px (ОП-2).</t>
    </r>
  </si>
  <si>
    <t xml:space="preserve">TC-HIS-11</t>
  </si>
  <si>
    <t xml:space="preserve">Смена ширины окна</t>
  </si>
  <si>
    <r>
      <rPr>
        <sz val="10"/>
        <rFont val="Arial"/>
        <family val="0"/>
        <charset val="1"/>
      </rPr>
      <t xml:space="preserve">ОП-1; ширина окна 1024 px или больше; выполнено вычисление: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.</t>
    </r>
  </si>
  <si>
    <t xml:space="preserve">1. Уменьшить ширину окна до 700 px
2. Нажать кнопку журнала
3. Увеличить ширину окна до 1024 px</t>
  </si>
  <si>
    <r>
      <rPr>
        <sz val="10"/>
        <rFont val="Arial"/>
        <family val="0"/>
        <charset val="1"/>
      </rPr>
      <t xml:space="preserve">1. Журнал справа скрылся; в заголовке появилась кнопка журнала; экран: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В журнале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 — содержимое сохранилось
3. Журнал снова виден справа; кнопка журнала в заголовке пропала</t>
    </r>
  </si>
  <si>
    <t xml:space="preserve">В журнале одна запись; ширина окна соответствует ОП-2.</t>
  </si>
  <si>
    <t xml:space="preserve">TC-KBD-01</t>
  </si>
  <si>
    <t xml:space="preserve">Цифры и десятичный разделитель</t>
  </si>
  <si>
    <t xml:space="preserve">Клавиатура</t>
  </si>
  <si>
    <r>
      <rPr>
        <sz val="10"/>
        <rFont val="Arial"/>
        <family val="0"/>
        <charset val="1"/>
      </rPr>
      <t xml:space="preserve">«Клавиатура» (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–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; </t>
    </r>
    <r>
      <rPr>
        <b val="true"/>
        <sz val="10"/>
        <rFont val="Arial"/>
        <family val="0"/>
        <charset val="1"/>
      </rPr>
      <t xml:space="preserve">.</t>
    </r>
    <r>
      <rPr>
        <sz val="10"/>
        <rFont val="Arial"/>
        <family val="0"/>
        <charset val="1"/>
      </rPr>
      <t xml:space="preserve"> или </t>
    </r>
    <r>
      <rPr>
        <b val="true"/>
        <sz val="10"/>
        <rFont val="Arial"/>
        <family val="0"/>
        <charset val="1"/>
      </rPr>
      <t xml:space="preserve">,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</si>
  <si>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Нажать на клавиатуре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.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Esc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,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Esc</t>
    </r>
    <r>
      <rPr>
        <sz val="10"/>
        <rFont val="Arial"/>
        <family val="0"/>
        <charset val="1"/>
      </rPr>
      <t xml:space="preserve">, затем на цифровом блоке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8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 (шаг выполняется, если на клавиатуре есть цифровой блок и включён </t>
    </r>
    <r>
      <rPr>
        <b val="true"/>
        <sz val="10"/>
        <rFont val="Arial"/>
        <family val="0"/>
        <charset val="1"/>
      </rPr>
      <t xml:space="preserve">Num Lock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</si>
  <si>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1,5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2,5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789</t>
    </r>
  </si>
  <si>
    <r>
      <rPr>
        <sz val="10"/>
        <rFont val="Arial"/>
        <family val="0"/>
        <charset val="1"/>
      </rPr>
      <t xml:space="preserve">Набирается последнее введённое число: </t>
    </r>
    <r>
      <rPr>
        <b val="true"/>
        <sz val="10"/>
        <rFont val="Arial"/>
        <family val="0"/>
        <charset val="1"/>
      </rPr>
      <t xml:space="preserve">789</t>
    </r>
    <r>
      <rPr>
        <sz val="10"/>
        <rFont val="Arial"/>
        <family val="0"/>
        <charset val="1"/>
      </rPr>
      <t xml:space="preserve"> или </t>
    </r>
    <r>
      <rPr>
        <b val="true"/>
        <sz val="10"/>
        <rFont val="Arial"/>
        <family val="0"/>
        <charset val="1"/>
      </rPr>
      <t xml:space="preserve">2,5</t>
    </r>
    <r>
      <rPr>
        <sz val="10"/>
        <rFont val="Arial"/>
        <family val="0"/>
        <charset val="1"/>
      </rPr>
      <t xml:space="preserve">, если шаг 3 пропущен.</t>
    </r>
  </si>
  <si>
    <t xml:space="preserve">TC-KBD-02</t>
  </si>
  <si>
    <t xml:space="preserve">Арифметические операции и равно</t>
  </si>
  <si>
    <r>
      <rPr>
        <sz val="10"/>
        <rFont val="Arial"/>
        <family val="0"/>
        <charset val="1"/>
      </rPr>
      <t xml:space="preserve">«Клавиатура» (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 </t>
    </r>
    <r>
      <rPr>
        <b val="true"/>
        <sz val="10"/>
        <rFont val="Arial"/>
        <family val="0"/>
        <charset val="1"/>
      </rPr>
      <t xml:space="preserve">-</t>
    </r>
    <r>
      <rPr>
        <sz val="10"/>
        <rFont val="Arial"/>
        <family val="0"/>
        <charset val="1"/>
      </rPr>
      <t xml:space="preserve"> </t>
    </r>
    <r>
      <rPr>
        <b val="true"/>
        <sz val="10"/>
        <rFont val="Arial"/>
        <family val="0"/>
        <charset val="1"/>
      </rPr>
      <t xml:space="preserve">*</t>
    </r>
    <r>
      <rPr>
        <sz val="10"/>
        <rFont val="Arial"/>
        <family val="0"/>
        <charset val="1"/>
      </rPr>
      <t xml:space="preserve"> </t>
    </r>
    <r>
      <rPr>
        <b val="true"/>
        <sz val="10"/>
        <rFont val="Arial"/>
        <family val="0"/>
        <charset val="1"/>
      </rPr>
      <t xml:space="preserve">/</t>
    </r>
    <r>
      <rPr>
        <sz val="10"/>
        <rFont val="Arial"/>
        <family val="0"/>
        <charset val="1"/>
      </rPr>
      <t xml:space="preserve">; </t>
    </r>
    <r>
      <rPr>
        <b val="true"/>
        <sz val="10"/>
        <rFont val="Arial"/>
        <family val="0"/>
        <charset val="1"/>
      </rPr>
      <t xml:space="preserve">Enter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</si>
  <si>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на клавиатуре </t>
    </r>
    <r>
      <rPr>
        <b val="true"/>
        <sz val="10"/>
        <rFont val="Arial"/>
        <family val="0"/>
        <charset val="1"/>
      </rPr>
      <t xml:space="preserve">12+30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Enter
</t>
    </r>
    <r>
      <rPr>
        <sz val="10"/>
        <rFont val="Arial"/>
        <family val="0"/>
        <charset val="1"/>
      </rPr>
      <t xml:space="preserve">2. Набрать </t>
    </r>
    <r>
      <rPr>
        <b val="true"/>
        <sz val="10"/>
        <rFont val="Arial"/>
        <family val="0"/>
        <charset val="1"/>
      </rPr>
      <t xml:space="preserve">9-4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
</t>
    </r>
    <r>
      <rPr>
        <sz val="10"/>
        <rFont val="Arial"/>
        <family val="0"/>
        <charset val="1"/>
      </rPr>
      <t xml:space="preserve">3. Набрать </t>
    </r>
    <r>
      <rPr>
        <b val="true"/>
        <sz val="10"/>
        <rFont val="Arial"/>
        <family val="0"/>
        <charset val="1"/>
      </rPr>
      <t xml:space="preserve">6*7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Enter
</t>
    </r>
    <r>
      <rPr>
        <sz val="10"/>
        <rFont val="Arial"/>
        <family val="0"/>
        <charset val="1"/>
      </rPr>
      <t xml:space="preserve">4. Набрать </t>
    </r>
    <r>
      <rPr>
        <b val="true"/>
        <sz val="10"/>
        <rFont val="Arial"/>
        <family val="0"/>
        <charset val="1"/>
      </rPr>
      <t xml:space="preserve">8/2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Enter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</si>
  <si>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42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+ 30 =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9 − 4 =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42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6 × 7 =
</t>
    </r>
    <r>
      <rPr>
        <sz val="10"/>
        <rFont val="Arial"/>
        <family val="0"/>
        <charset val="1"/>
      </rPr>
      <t xml:space="preserve">4. Экран: </t>
    </r>
    <r>
      <rPr>
        <b val="true"/>
        <sz val="10"/>
        <rFont val="Arial"/>
        <family val="0"/>
        <charset val="1"/>
      </rPr>
      <t xml:space="preserve">4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8 ÷ 2 =</t>
    </r>
  </si>
  <si>
    <r>
      <rPr>
        <sz val="10"/>
        <rFont val="Arial"/>
        <family val="0"/>
        <charset val="1"/>
      </rPr>
      <t xml:space="preserve">В журнале четыре записи, сверху — </t>
    </r>
    <r>
      <rPr>
        <b val="true"/>
        <sz val="10"/>
        <rFont val="Arial"/>
        <family val="0"/>
        <charset val="1"/>
      </rPr>
      <t xml:space="preserve">8 ÷ 2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4</t>
    </r>
    <r>
      <rPr>
        <sz val="10"/>
        <rFont val="Arial"/>
        <family val="0"/>
        <charset val="1"/>
      </rPr>
      <t xml:space="preserve">.</t>
    </r>
  </si>
  <si>
    <t xml:space="preserve">TC-KBD-03</t>
  </si>
  <si>
    <t xml:space="preserve">Процент</t>
  </si>
  <si>
    <r>
      <rPr>
        <sz val="10"/>
        <rFont val="Arial"/>
        <family val="0"/>
        <charset val="1"/>
      </rPr>
      <t xml:space="preserve">«Клавиатура» (</t>
    </r>
    <r>
      <rPr>
        <b val="true"/>
        <sz val="10"/>
        <rFont val="Arial"/>
        <family val="0"/>
        <charset val="1"/>
      </rPr>
      <t xml:space="preserve">%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</si>
  <si>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на клавиатуре </t>
    </r>
    <r>
      <rPr>
        <b val="true"/>
        <sz val="10"/>
        <rFont val="Arial"/>
        <family val="0"/>
        <charset val="1"/>
      </rPr>
      <t xml:space="preserve">200+5%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Enter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</si>
  <si>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200 + 10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210</t>
    </r>
  </si>
  <si>
    <t xml:space="preserve">TC-KBD-04</t>
  </si>
  <si>
    <r>
      <rPr>
        <sz val="10"/>
        <rFont val="Arial"/>
        <family val="0"/>
        <charset val="1"/>
      </rPr>
      <t xml:space="preserve">«Клавиатура» (</t>
    </r>
    <r>
      <rPr>
        <b val="true"/>
        <sz val="10"/>
        <rFont val="Arial"/>
        <family val="0"/>
        <charset val="1"/>
      </rPr>
      <t xml:space="preserve">r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q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@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F9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</si>
  <si>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4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r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Esc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q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Esc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9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@</t>
    </r>
    <r>
      <rPr>
        <sz val="10"/>
        <rFont val="Arial"/>
        <family val="0"/>
        <charset val="1"/>
      </rPr>
      <t xml:space="preserve"> (</t>
    </r>
    <r>
      <rPr>
        <b val="true"/>
        <sz val="10"/>
        <rFont val="Arial"/>
        <family val="0"/>
        <charset val="1"/>
      </rPr>
      <t xml:space="preserve">Shift</t>
    </r>
    <r>
      <rPr>
        <sz val="10"/>
        <rFont val="Arial"/>
        <family val="0"/>
        <charset val="1"/>
      </rPr>
      <t xml:space="preserve">+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)
4. Нажать </t>
    </r>
    <r>
      <rPr>
        <b val="true"/>
        <sz val="10"/>
        <rFont val="Arial"/>
        <family val="0"/>
        <charset val="1"/>
      </rPr>
      <t xml:space="preserve">Esc</t>
    </r>
    <r>
      <rPr>
        <sz val="10"/>
        <rFont val="Arial"/>
        <family val="0"/>
        <charset val="1"/>
      </rPr>
      <t xml:space="preserve">, затем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F9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</si>
  <si>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0,25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1/(4)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25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sqr(5)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√(9)
</t>
    </r>
    <r>
      <rPr>
        <sz val="10"/>
        <rFont val="Arial"/>
        <family val="0"/>
        <charset val="1"/>
      </rPr>
      <t xml:space="preserve">4. Экран: </t>
    </r>
    <r>
      <rPr>
        <b val="true"/>
        <sz val="10"/>
        <rFont val="Arial"/>
        <family val="0"/>
        <charset val="1"/>
      </rPr>
      <t xml:space="preserve">-7
</t>
    </r>
    <r>
      <rPr>
        <sz val="10"/>
        <rFont val="Arial"/>
        <family val="0"/>
        <charset val="1"/>
      </rPr>
      <t xml:space="preserve">Примечание: на macOS </t>
    </r>
    <r>
      <rPr>
        <b val="true"/>
        <sz val="10"/>
        <rFont val="Arial"/>
        <family val="0"/>
        <charset val="1"/>
      </rPr>
      <t xml:space="preserve">F9</t>
    </r>
    <r>
      <rPr>
        <sz val="10"/>
        <rFont val="Arial"/>
        <family val="0"/>
        <charset val="1"/>
      </rPr>
      <t xml:space="preserve"> может быть занята системой — нажимать </t>
    </r>
    <r>
      <rPr>
        <b val="true"/>
        <sz val="10"/>
        <rFont val="Arial"/>
        <family val="0"/>
        <charset val="1"/>
      </rPr>
      <t xml:space="preserve">Fn</t>
    </r>
    <r>
      <rPr>
        <sz val="10"/>
        <rFont val="Arial"/>
        <family val="0"/>
        <charset val="1"/>
      </rPr>
      <t xml:space="preserve">+</t>
    </r>
    <r>
      <rPr>
        <b val="true"/>
        <sz val="10"/>
        <rFont val="Arial"/>
        <family val="0"/>
        <charset val="1"/>
      </rPr>
      <t xml:space="preserve">F9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</si>
  <si>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-7</t>
    </r>
    <r>
      <rPr>
        <sz val="10"/>
        <rFont val="Arial"/>
        <family val="0"/>
        <charset val="1"/>
      </rPr>
      <t xml:space="preserve">; журнал пуст.</t>
    </r>
  </si>
  <si>
    <t xml:space="preserve">TC-KBD-05</t>
  </si>
  <si>
    <t xml:space="preserve">Клавиши очистки</t>
  </si>
  <si>
    <r>
      <rPr>
        <sz val="10"/>
        <rFont val="Arial"/>
        <family val="0"/>
        <charset val="1"/>
      </rPr>
      <t xml:space="preserve">«Клавиатура» (</t>
    </r>
    <r>
      <rPr>
        <b val="true"/>
        <sz val="10"/>
        <rFont val="Arial"/>
        <family val="0"/>
        <charset val="1"/>
      </rPr>
      <t xml:space="preserve">Backspace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Delete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Esc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</si>
  <si>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Backspace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34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Delete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Esc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</si>
  <si>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12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</t>
    </r>
  </si>
  <si>
    <t xml:space="preserve">Прогон тестов: калькулятор, JS-версия</t>
  </si>
  <si>
    <t xml:space="preserve">Параметры прогона</t>
  </si>
  <si>
    <t xml:space="preserve">Версия сборки</t>
  </si>
  <si>
    <t xml:space="preserve">из подвала страницы калькулятора, например 1.0.0</t>
  </si>
  <si>
    <t xml:space="preserve">Стенд</t>
  </si>
  <si>
    <t xml:space="preserve">https://calc.simdyanov.ru, http://localhost:5173 или http://localhost:8080</t>
  </si>
  <si>
    <t xml:space="preserve">Браузер и ОС</t>
  </si>
  <si>
    <t xml:space="preserve">например, Chrome 140, macOS 26</t>
  </si>
  <si>
    <t xml:space="preserve">Тестировщик</t>
  </si>
  <si>
    <t xml:space="preserve">Дата начала</t>
  </si>
  <si>
    <t xml:space="preserve">ДД.ММ.ГГГГ</t>
  </si>
  <si>
    <t xml:space="preserve">Дата окончания</t>
  </si>
  <si>
    <t xml:space="preserve">Итоги</t>
  </si>
  <si>
    <t xml:space="preserve">Всего кейсов</t>
  </si>
  <si>
    <t xml:space="preserve">включая кейсы с пустым статусом</t>
  </si>
  <si>
    <t xml:space="preserve">Выполнено</t>
  </si>
  <si>
    <t xml:space="preserve">доля кейсов со статусом «Пройден» или «Не пройден»</t>
  </si>
  <si>
    <t xml:space="preserve">Пройдено из выполненных</t>
  </si>
  <si>
    <t xml:space="preserve">«—», пока ни один кейс не выполнен</t>
  </si>
  <si>
    <t xml:space="preserve">По разделам</t>
  </si>
  <si>
    <t xml:space="preserve">Всего</t>
  </si>
  <si>
    <t xml:space="preserve">Итого</t>
  </si>
  <si>
    <t xml:space="preserve">По приоритетам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</si>
</sst>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30" hidden="false" customHeight="true" outlineLevel="0" collapsed="false">
      <c r="A6" s="4" t="s">
        <v>5</v>
      </c>
      <c r="B6" s="5" t="s">
        <v>6</v>
      </c>
    </row>
    <row r="7" customFormat="false" ht="30" hidden="false" customHeight="true" outlineLevel="0" collapsed="false">
      <c r="A7" s="4" t="s">
        <v>7</v>
      </c>
      <c r="B7" s="5" t="s">
        <v>8</v>
      </c>
    </row>
    <row r="8" customFormat="false" ht="17.25" hidden="false" customHeight="true" outlineLevel="0" collapsed="false">
      <c r="A8" s="4" t="s">
        <v>9</v>
      </c>
      <c r="B8" s="5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6" t="s">
        <v>12</v>
      </c>
      <c r="B11" s="6" t="s">
        <v>13</v>
      </c>
    </row>
    <row r="12" customFormat="false" ht="17.25" hidden="false" customHeight="true" outlineLevel="0" collapsed="false">
      <c r="A12" s="4" t="s">
        <v>14</v>
      </c>
      <c r="B12" s="5" t="s">
        <v>15</v>
      </c>
    </row>
    <row r="13" customFormat="false" ht="17.25" hidden="false" customHeight="true" outlineLevel="0" collapsed="false">
      <c r="A13" s="4" t="s">
        <v>16</v>
      </c>
      <c r="B13" s="5" t="s">
        <v>17</v>
      </c>
    </row>
    <row r="14" customFormat="false" ht="30" hidden="false" customHeight="true" outlineLevel="0" collapsed="false">
      <c r="A14" s="4" t="s">
        <v>18</v>
      </c>
      <c r="B14" s="5" t="s">
        <v>19</v>
      </c>
    </row>
    <row r="15" customFormat="false" ht="30" hidden="false" customHeight="true" outlineLevel="0" collapsed="false">
      <c r="A15" s="4" t="s">
        <v>20</v>
      </c>
      <c r="B15" s="5" t="s">
        <v>21</v>
      </c>
    </row>
    <row r="16" customFormat="false" ht="30" hidden="false" customHeight="true" outlineLevel="0" collapsed="false">
      <c r="A16" s="4" t="s">
        <v>22</v>
      </c>
      <c r="B16" s="5" t="s">
        <v>23</v>
      </c>
    </row>
    <row r="18" customFormat="false" ht="15" hidden="false" customHeight="false" outlineLevel="0" collapsed="false">
      <c r="A18" s="3" t="s">
        <v>24</v>
      </c>
    </row>
    <row r="19" customFormat="false" ht="17.25" hidden="false" customHeight="true" outlineLevel="0" collapsed="false">
      <c r="A19" s="4" t="s">
        <v>25</v>
      </c>
      <c r="B19" s="5" t="s">
        <v>26</v>
      </c>
    </row>
    <row r="20" customFormat="false" ht="17.25" hidden="false" customHeight="true" outlineLevel="0" collapsed="false">
      <c r="A20" s="4" t="s">
        <v>27</v>
      </c>
      <c r="B20" s="5" t="s">
        <v>28</v>
      </c>
    </row>
    <row r="21" customFormat="false" ht="17.25" hidden="false" customHeight="true" outlineLevel="0" collapsed="false">
      <c r="A21" s="4" t="s">
        <v>29</v>
      </c>
      <c r="B21" s="5" t="s">
        <v>30</v>
      </c>
    </row>
    <row r="23" customFormat="false" ht="15" hidden="false" customHeight="false" outlineLevel="0" collapsed="false">
      <c r="A23" s="3" t="s">
        <v>31</v>
      </c>
    </row>
    <row r="24" customFormat="false" ht="42.75" hidden="false" customHeight="true" outlineLevel="0" collapsed="false">
      <c r="A24" s="4" t="s">
        <v>32</v>
      </c>
      <c r="B24" s="5" t="s">
        <v>33</v>
      </c>
    </row>
    <row r="25" customFormat="false" ht="30" hidden="false" customHeight="true" outlineLevel="0" collapsed="false">
      <c r="A25" s="4" t="s">
        <v>34</v>
      </c>
      <c r="B25" s="5" t="s">
        <v>35</v>
      </c>
    </row>
    <row r="26" customFormat="false" ht="42.75" hidden="false" customHeight="true" outlineLevel="0" collapsed="false">
      <c r="A26" s="4" t="s">
        <v>36</v>
      </c>
      <c r="B26" s="5" t="s">
        <v>37</v>
      </c>
    </row>
    <row r="28" customFormat="false" ht="15" hidden="false" customHeight="false" outlineLevel="0" collapsed="false">
      <c r="A28" s="3" t="s">
        <v>38</v>
      </c>
    </row>
    <row r="29" customFormat="false" ht="17.25" hidden="false" customHeight="true" outlineLevel="0" collapsed="false">
      <c r="A29" s="4" t="s">
        <v>39</v>
      </c>
      <c r="B29" s="5" t="s">
        <v>40</v>
      </c>
    </row>
    <row r="30" customFormat="false" ht="17.25" hidden="false" customHeight="true" outlineLevel="0" collapsed="false">
      <c r="A30" s="4" t="s">
        <v>41</v>
      </c>
      <c r="B30" s="5" t="s">
        <v>42</v>
      </c>
    </row>
    <row r="31" customFormat="false" ht="17.25" hidden="false" customHeight="true" outlineLevel="0" collapsed="false">
      <c r="A31" s="4" t="s">
        <v>43</v>
      </c>
      <c r="B31" s="5" t="s">
        <v>44</v>
      </c>
    </row>
    <row r="32" customFormat="false" ht="30" hidden="false" customHeight="true" outlineLevel="0" collapsed="false">
      <c r="A32" s="4" t="s">
        <v>45</v>
      </c>
      <c r="B32" s="5" t="s">
        <v>46</v>
      </c>
    </row>
    <row r="33" customFormat="false" ht="17.25" hidden="false" customHeight="true" outlineLevel="0" collapsed="false">
      <c r="A33" s="4" t="s">
        <v>45</v>
      </c>
      <c r="B33" s="5" t="s">
        <v>47</v>
      </c>
    </row>
    <row r="34" customFormat="false" ht="30" hidden="false" customHeight="true" outlineLevel="0" collapsed="false">
      <c r="A34" s="4" t="s">
        <v>45</v>
      </c>
      <c r="B34" s="5" t="s">
        <v>48</v>
      </c>
    </row>
    <row r="35" customFormat="false" ht="17.25" hidden="false" customHeight="true" outlineLevel="0" collapsed="false">
      <c r="A35" s="4" t="s">
        <v>45</v>
      </c>
      <c r="B35" s="5" t="s">
        <v>49</v>
      </c>
    </row>
    <row r="36" customFormat="false" ht="17.25" hidden="false" customHeight="true" outlineLevel="0" collapsed="false">
      <c r="A36" s="4" t="s">
        <v>50</v>
      </c>
      <c r="B36" s="5" t="s">
        <v>51</v>
      </c>
    </row>
    <row r="38" customFormat="false" ht="15" hidden="false" customHeight="false" outlineLevel="0" collapsed="false">
      <c r="A38" s="3" t="s">
        <v>52</v>
      </c>
    </row>
    <row r="39" customFormat="false" ht="17.25" hidden="false" customHeight="true" outlineLevel="0" collapsed="false">
      <c r="A39" s="4" t="s">
        <v>53</v>
      </c>
      <c r="B39" s="5" t="s">
        <v>54</v>
      </c>
    </row>
    <row r="40" customFormat="false" ht="17.25" hidden="false" customHeight="true" outlineLevel="0" collapsed="false">
      <c r="A40" s="4" t="s">
        <v>12</v>
      </c>
      <c r="B40" s="5" t="s">
        <v>16</v>
      </c>
    </row>
    <row r="41" customFormat="false" ht="17.25" hidden="false" customHeight="true" outlineLevel="0" collapsed="false">
      <c r="A41" s="4" t="s">
        <v>55</v>
      </c>
      <c r="B41" s="5" t="s">
        <v>56</v>
      </c>
    </row>
    <row r="43" customFormat="false" ht="15" hidden="false" customHeight="false" outlineLevel="0" collapsed="false">
      <c r="A43" s="3" t="s">
        <v>57</v>
      </c>
    </row>
    <row r="44" customFormat="false" ht="17.25" hidden="false" customHeight="true" outlineLevel="0" collapsed="false">
      <c r="A44" s="4" t="s">
        <v>53</v>
      </c>
      <c r="B44" s="5" t="s">
        <v>58</v>
      </c>
    </row>
    <row r="45" customFormat="false" ht="17.25" hidden="false" customHeight="true" outlineLevel="0" collapsed="false">
      <c r="A45" s="4" t="s">
        <v>12</v>
      </c>
      <c r="B45" s="5" t="s">
        <v>18</v>
      </c>
    </row>
    <row r="46" customFormat="false" ht="17.25" hidden="false" customHeight="true" outlineLevel="0" collapsed="false">
      <c r="A46" s="4" t="s">
        <v>55</v>
      </c>
      <c r="B46" s="5" t="s">
        <v>59</v>
      </c>
    </row>
    <row r="47" customFormat="false" ht="17.25" hidden="false" customHeight="true" outlineLevel="0" collapsed="false">
      <c r="A47" s="4" t="s">
        <v>60</v>
      </c>
      <c r="B47" s="5" t="s">
        <v>61</v>
      </c>
    </row>
    <row r="48" customFormat="false" ht="17.25" hidden="false" customHeight="true" outlineLevel="0" collapsed="false">
      <c r="A48" s="4" t="s">
        <v>62</v>
      </c>
      <c r="B48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46"/>
    <col collapsed="false" customWidth="true" hidden="false" outlineLevel="0" max="8" min="8" style="0" width="46.1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36"/>
    <col collapsed="false" customWidth="true" hidden="false" outlineLevel="0" max="12" min="12" style="0" width="14"/>
    <col collapsed="false" customWidth="true" hidden="false" outlineLevel="0" max="13" min="13" style="0" width="28"/>
  </cols>
  <sheetData>
    <row r="1" customFormat="false" ht="30" hidden="false" customHeight="true" outlineLevel="0" collapsed="false">
      <c r="A1" s="7" t="s">
        <v>53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8" t="s">
        <v>12</v>
      </c>
      <c r="K1" s="8" t="s">
        <v>55</v>
      </c>
      <c r="L1" s="8" t="s">
        <v>60</v>
      </c>
      <c r="M1" s="8" t="s">
        <v>62</v>
      </c>
    </row>
    <row r="2" customFormat="false" ht="81" hidden="false" customHeight="true" outlineLevel="0" collapsed="false">
      <c r="A2" s="4" t="s">
        <v>54</v>
      </c>
      <c r="B2" s="5" t="s">
        <v>72</v>
      </c>
      <c r="C2" s="5" t="s">
        <v>73</v>
      </c>
      <c r="D2" s="9" t="s">
        <v>25</v>
      </c>
      <c r="E2" s="5" t="s">
        <v>74</v>
      </c>
      <c r="F2" s="5" t="s">
        <v>75</v>
      </c>
      <c r="G2" s="5" t="s">
        <v>76</v>
      </c>
      <c r="H2" s="5" t="s">
        <v>77</v>
      </c>
      <c r="I2" s="5" t="s">
        <v>78</v>
      </c>
      <c r="J2" s="10" t="s">
        <v>14</v>
      </c>
      <c r="K2" s="11"/>
      <c r="L2" s="11"/>
      <c r="M2" s="11"/>
    </row>
    <row r="3" customFormat="false" ht="30" hidden="false" customHeight="true" outlineLevel="0" collapsed="false">
      <c r="A3" s="4" t="s">
        <v>79</v>
      </c>
      <c r="B3" s="5" t="s">
        <v>80</v>
      </c>
      <c r="C3" s="5" t="s">
        <v>81</v>
      </c>
      <c r="D3" s="9" t="s">
        <v>25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86</v>
      </c>
      <c r="J3" s="10" t="s">
        <v>14</v>
      </c>
      <c r="K3" s="11"/>
      <c r="L3" s="11"/>
      <c r="M3" s="11"/>
    </row>
    <row r="4" customFormat="false" ht="30" hidden="false" customHeight="true" outlineLevel="0" collapsed="false">
      <c r="A4" s="4" t="s">
        <v>58</v>
      </c>
      <c r="B4" s="5" t="s">
        <v>87</v>
      </c>
      <c r="C4" s="5" t="s">
        <v>81</v>
      </c>
      <c r="D4" s="9" t="s">
        <v>27</v>
      </c>
      <c r="E4" s="5" t="s">
        <v>82</v>
      </c>
      <c r="F4" s="5" t="s">
        <v>83</v>
      </c>
      <c r="G4" s="5" t="s">
        <v>88</v>
      </c>
      <c r="H4" s="5" t="s">
        <v>89</v>
      </c>
      <c r="I4" s="5" t="s">
        <v>90</v>
      </c>
      <c r="J4" s="10" t="s">
        <v>14</v>
      </c>
      <c r="K4" s="11"/>
      <c r="L4" s="11"/>
      <c r="M4" s="11"/>
    </row>
    <row r="5" customFormat="false" ht="42.75" hidden="false" customHeight="true" outlineLevel="0" collapsed="false">
      <c r="A5" s="4" t="s">
        <v>91</v>
      </c>
      <c r="B5" s="5" t="s">
        <v>92</v>
      </c>
      <c r="C5" s="5" t="s">
        <v>81</v>
      </c>
      <c r="D5" s="9" t="s">
        <v>25</v>
      </c>
      <c r="E5" s="5" t="s">
        <v>82</v>
      </c>
      <c r="F5" s="5" t="s">
        <v>83</v>
      </c>
      <c r="G5" s="5" t="s">
        <v>93</v>
      </c>
      <c r="H5" s="5" t="s">
        <v>94</v>
      </c>
      <c r="I5" s="5" t="s">
        <v>95</v>
      </c>
      <c r="J5" s="10" t="s">
        <v>14</v>
      </c>
      <c r="K5" s="11"/>
      <c r="L5" s="11"/>
      <c r="M5" s="11"/>
    </row>
    <row r="6" customFormat="false" ht="30" hidden="false" customHeight="true" outlineLevel="0" collapsed="false">
      <c r="A6" s="4" t="s">
        <v>96</v>
      </c>
      <c r="B6" s="5" t="s">
        <v>97</v>
      </c>
      <c r="C6" s="5" t="s">
        <v>81</v>
      </c>
      <c r="D6" s="9" t="s">
        <v>27</v>
      </c>
      <c r="E6" s="5" t="s">
        <v>82</v>
      </c>
      <c r="F6" s="5" t="s">
        <v>83</v>
      </c>
      <c r="G6" s="5" t="s">
        <v>98</v>
      </c>
      <c r="H6" s="5" t="s">
        <v>99</v>
      </c>
      <c r="I6" s="5" t="s">
        <v>100</v>
      </c>
      <c r="J6" s="10" t="s">
        <v>14</v>
      </c>
      <c r="K6" s="11"/>
      <c r="L6" s="11"/>
      <c r="M6" s="11"/>
    </row>
    <row r="7" customFormat="false" ht="42.75" hidden="false" customHeight="true" outlineLevel="0" collapsed="false">
      <c r="A7" s="4" t="s">
        <v>101</v>
      </c>
      <c r="B7" s="5" t="s">
        <v>102</v>
      </c>
      <c r="C7" s="5" t="s">
        <v>81</v>
      </c>
      <c r="D7" s="9" t="s">
        <v>27</v>
      </c>
      <c r="E7" s="5" t="s">
        <v>82</v>
      </c>
      <c r="F7" s="5" t="s">
        <v>83</v>
      </c>
      <c r="G7" s="5" t="s">
        <v>103</v>
      </c>
      <c r="H7" s="5" t="s">
        <v>104</v>
      </c>
      <c r="I7" s="5" t="s">
        <v>105</v>
      </c>
      <c r="J7" s="10" t="s">
        <v>14</v>
      </c>
      <c r="K7" s="11"/>
      <c r="L7" s="11"/>
      <c r="M7" s="11"/>
    </row>
    <row r="8" customFormat="false" ht="42.75" hidden="false" customHeight="true" outlineLevel="0" collapsed="false">
      <c r="A8" s="4" t="s">
        <v>106</v>
      </c>
      <c r="B8" s="5" t="s">
        <v>107</v>
      </c>
      <c r="C8" s="5" t="s">
        <v>81</v>
      </c>
      <c r="D8" s="9" t="s">
        <v>27</v>
      </c>
      <c r="E8" s="5" t="s">
        <v>82</v>
      </c>
      <c r="F8" s="5" t="s">
        <v>83</v>
      </c>
      <c r="G8" s="5" t="s">
        <v>108</v>
      </c>
      <c r="H8" s="5" t="s">
        <v>109</v>
      </c>
      <c r="I8" s="5" t="s">
        <v>110</v>
      </c>
      <c r="J8" s="10" t="s">
        <v>14</v>
      </c>
      <c r="K8" s="11"/>
      <c r="L8" s="11"/>
      <c r="M8" s="11"/>
    </row>
    <row r="9" customFormat="false" ht="30" hidden="false" customHeight="true" outlineLevel="0" collapsed="false">
      <c r="A9" s="4" t="s">
        <v>111</v>
      </c>
      <c r="B9" s="5" t="s">
        <v>112</v>
      </c>
      <c r="C9" s="5" t="s">
        <v>81</v>
      </c>
      <c r="D9" s="9" t="s">
        <v>29</v>
      </c>
      <c r="E9" s="5" t="s">
        <v>82</v>
      </c>
      <c r="F9" s="5" t="s">
        <v>83</v>
      </c>
      <c r="G9" s="5" t="s">
        <v>113</v>
      </c>
      <c r="H9" s="5" t="s">
        <v>114</v>
      </c>
      <c r="I9" s="5" t="s">
        <v>115</v>
      </c>
      <c r="J9" s="10" t="s">
        <v>14</v>
      </c>
      <c r="K9" s="11"/>
      <c r="L9" s="11"/>
      <c r="M9" s="11"/>
    </row>
    <row r="10" customFormat="false" ht="55.5" hidden="false" customHeight="true" outlineLevel="0" collapsed="false">
      <c r="A10" s="4" t="s">
        <v>116</v>
      </c>
      <c r="B10" s="5" t="s">
        <v>117</v>
      </c>
      <c r="C10" s="5" t="s">
        <v>81</v>
      </c>
      <c r="D10" s="9" t="s">
        <v>27</v>
      </c>
      <c r="E10" s="5" t="s">
        <v>82</v>
      </c>
      <c r="F10" s="5" t="s">
        <v>83</v>
      </c>
      <c r="G10" s="5" t="s">
        <v>118</v>
      </c>
      <c r="H10" s="5" t="s">
        <v>119</v>
      </c>
      <c r="I10" s="5" t="s">
        <v>120</v>
      </c>
      <c r="J10" s="10" t="s">
        <v>14</v>
      </c>
      <c r="K10" s="11"/>
      <c r="L10" s="11"/>
      <c r="M10" s="11"/>
    </row>
    <row r="11" customFormat="false" ht="42.75" hidden="false" customHeight="true" outlineLevel="0" collapsed="false">
      <c r="A11" s="4" t="s">
        <v>121</v>
      </c>
      <c r="B11" s="5" t="s">
        <v>122</v>
      </c>
      <c r="C11" s="5" t="s">
        <v>81</v>
      </c>
      <c r="D11" s="9" t="s">
        <v>27</v>
      </c>
      <c r="E11" s="5" t="s">
        <v>123</v>
      </c>
      <c r="F11" s="5" t="s">
        <v>83</v>
      </c>
      <c r="G11" s="5" t="s">
        <v>124</v>
      </c>
      <c r="H11" s="5" t="s">
        <v>125</v>
      </c>
      <c r="I11" s="5" t="s">
        <v>126</v>
      </c>
      <c r="J11" s="10" t="s">
        <v>14</v>
      </c>
      <c r="K11" s="11"/>
      <c r="L11" s="11"/>
      <c r="M11" s="11"/>
    </row>
    <row r="12" customFormat="false" ht="81" hidden="false" customHeight="true" outlineLevel="0" collapsed="false">
      <c r="A12" s="4" t="s">
        <v>127</v>
      </c>
      <c r="B12" s="5" t="s">
        <v>128</v>
      </c>
      <c r="C12" s="5" t="s">
        <v>81</v>
      </c>
      <c r="D12" s="9" t="s">
        <v>27</v>
      </c>
      <c r="E12" s="5" t="s">
        <v>129</v>
      </c>
      <c r="F12" s="5" t="s">
        <v>83</v>
      </c>
      <c r="G12" s="5" t="s">
        <v>130</v>
      </c>
      <c r="H12" s="5" t="s">
        <v>131</v>
      </c>
      <c r="I12" s="5" t="s">
        <v>132</v>
      </c>
      <c r="J12" s="10" t="s">
        <v>14</v>
      </c>
      <c r="K12" s="11"/>
      <c r="L12" s="11"/>
      <c r="M12" s="11"/>
    </row>
    <row r="13" customFormat="false" ht="30" hidden="false" customHeight="true" outlineLevel="0" collapsed="false">
      <c r="A13" s="4" t="s">
        <v>133</v>
      </c>
      <c r="B13" s="4" t="s">
        <v>134</v>
      </c>
      <c r="C13" s="5" t="s">
        <v>81</v>
      </c>
      <c r="D13" s="9" t="s">
        <v>29</v>
      </c>
      <c r="E13" s="5" t="s">
        <v>135</v>
      </c>
      <c r="F13" s="5" t="s">
        <v>83</v>
      </c>
      <c r="G13" s="5" t="s">
        <v>136</v>
      </c>
      <c r="H13" s="5" t="s">
        <v>137</v>
      </c>
      <c r="I13" s="5" t="s">
        <v>138</v>
      </c>
      <c r="J13" s="10" t="s">
        <v>14</v>
      </c>
      <c r="K13" s="11"/>
      <c r="L13" s="11"/>
      <c r="M13" s="11"/>
    </row>
    <row r="14" customFormat="false" ht="42.75" hidden="false" customHeight="true" outlineLevel="0" collapsed="false">
      <c r="A14" s="4" t="s">
        <v>139</v>
      </c>
      <c r="B14" s="4" t="s">
        <v>140</v>
      </c>
      <c r="C14" s="5" t="s">
        <v>81</v>
      </c>
      <c r="D14" s="9" t="s">
        <v>25</v>
      </c>
      <c r="E14" s="5" t="s">
        <v>141</v>
      </c>
      <c r="F14" s="5" t="s">
        <v>83</v>
      </c>
      <c r="G14" s="5" t="s">
        <v>142</v>
      </c>
      <c r="H14" s="5" t="s">
        <v>143</v>
      </c>
      <c r="I14" s="5" t="s">
        <v>144</v>
      </c>
      <c r="J14" s="10" t="s">
        <v>14</v>
      </c>
      <c r="K14" s="11"/>
      <c r="L14" s="11"/>
      <c r="M14" s="11"/>
    </row>
    <row r="15" customFormat="false" ht="42.75" hidden="false" customHeight="true" outlineLevel="0" collapsed="false">
      <c r="A15" s="4" t="s">
        <v>145</v>
      </c>
      <c r="B15" s="4" t="s">
        <v>146</v>
      </c>
      <c r="C15" s="5" t="s">
        <v>81</v>
      </c>
      <c r="D15" s="9" t="s">
        <v>25</v>
      </c>
      <c r="E15" s="5" t="s">
        <v>147</v>
      </c>
      <c r="F15" s="5" t="s">
        <v>83</v>
      </c>
      <c r="G15" s="5" t="s">
        <v>148</v>
      </c>
      <c r="H15" s="5" t="s">
        <v>149</v>
      </c>
      <c r="I15" s="5" t="s">
        <v>150</v>
      </c>
      <c r="J15" s="10" t="s">
        <v>14</v>
      </c>
      <c r="K15" s="11"/>
      <c r="L15" s="11"/>
      <c r="M15" s="11"/>
    </row>
    <row r="16" customFormat="false" ht="81" hidden="false" customHeight="true" outlineLevel="0" collapsed="false">
      <c r="A16" s="4" t="s">
        <v>151</v>
      </c>
      <c r="B16" s="4" t="s">
        <v>152</v>
      </c>
      <c r="C16" s="5" t="s">
        <v>81</v>
      </c>
      <c r="D16" s="9" t="s">
        <v>27</v>
      </c>
      <c r="E16" s="5" t="s">
        <v>147</v>
      </c>
      <c r="F16" s="5" t="s">
        <v>153</v>
      </c>
      <c r="G16" s="5" t="s">
        <v>154</v>
      </c>
      <c r="H16" s="5" t="s">
        <v>155</v>
      </c>
      <c r="I16" s="5" t="s">
        <v>156</v>
      </c>
      <c r="J16" s="10" t="s">
        <v>14</v>
      </c>
      <c r="K16" s="11"/>
      <c r="L16" s="11"/>
      <c r="M16" s="11"/>
    </row>
    <row r="17" customFormat="false" ht="30" hidden="false" customHeight="true" outlineLevel="0" collapsed="false">
      <c r="A17" s="4" t="s">
        <v>157</v>
      </c>
      <c r="B17" s="5" t="s">
        <v>158</v>
      </c>
      <c r="C17" s="5" t="s">
        <v>159</v>
      </c>
      <c r="D17" s="9" t="s">
        <v>25</v>
      </c>
      <c r="E17" s="5" t="s">
        <v>160</v>
      </c>
      <c r="F17" s="5" t="s">
        <v>83</v>
      </c>
      <c r="G17" s="5" t="s">
        <v>161</v>
      </c>
      <c r="H17" s="5" t="s">
        <v>162</v>
      </c>
      <c r="I17" s="5" t="s">
        <v>163</v>
      </c>
      <c r="J17" s="10" t="s">
        <v>14</v>
      </c>
      <c r="K17" s="11"/>
      <c r="L17" s="11"/>
      <c r="M17" s="11"/>
    </row>
    <row r="18" customFormat="false" ht="17.25" hidden="false" customHeight="true" outlineLevel="0" collapsed="false">
      <c r="A18" s="4" t="s">
        <v>164</v>
      </c>
      <c r="B18" s="5" t="s">
        <v>165</v>
      </c>
      <c r="C18" s="5" t="s">
        <v>159</v>
      </c>
      <c r="D18" s="9" t="s">
        <v>27</v>
      </c>
      <c r="E18" s="5" t="s">
        <v>166</v>
      </c>
      <c r="F18" s="5" t="s">
        <v>83</v>
      </c>
      <c r="G18" s="5" t="s">
        <v>167</v>
      </c>
      <c r="H18" s="5" t="s">
        <v>168</v>
      </c>
      <c r="I18" s="5" t="s">
        <v>169</v>
      </c>
      <c r="J18" s="10" t="s">
        <v>14</v>
      </c>
      <c r="K18" s="11"/>
      <c r="L18" s="11"/>
      <c r="M18" s="11"/>
    </row>
    <row r="19" customFormat="false" ht="17.25" hidden="false" customHeight="true" outlineLevel="0" collapsed="false">
      <c r="A19" s="4" t="s">
        <v>170</v>
      </c>
      <c r="B19" s="5" t="s">
        <v>171</v>
      </c>
      <c r="C19" s="5" t="s">
        <v>159</v>
      </c>
      <c r="D19" s="9" t="s">
        <v>27</v>
      </c>
      <c r="E19" s="5" t="s">
        <v>166</v>
      </c>
      <c r="F19" s="5" t="s">
        <v>83</v>
      </c>
      <c r="G19" s="5" t="s">
        <v>172</v>
      </c>
      <c r="H19" s="5" t="s">
        <v>173</v>
      </c>
      <c r="I19" s="5" t="s">
        <v>174</v>
      </c>
      <c r="J19" s="10" t="s">
        <v>14</v>
      </c>
      <c r="K19" s="11"/>
      <c r="L19" s="11"/>
      <c r="M19" s="11"/>
    </row>
    <row r="20" customFormat="false" ht="30" hidden="false" customHeight="true" outlineLevel="0" collapsed="false">
      <c r="A20" s="4" t="s">
        <v>175</v>
      </c>
      <c r="B20" s="5" t="s">
        <v>176</v>
      </c>
      <c r="C20" s="5" t="s">
        <v>159</v>
      </c>
      <c r="D20" s="9" t="s">
        <v>29</v>
      </c>
      <c r="E20" s="5" t="s">
        <v>177</v>
      </c>
      <c r="F20" s="5" t="s">
        <v>83</v>
      </c>
      <c r="G20" s="5" t="s">
        <v>178</v>
      </c>
      <c r="H20" s="5" t="s">
        <v>179</v>
      </c>
      <c r="I20" s="5" t="s">
        <v>180</v>
      </c>
      <c r="J20" s="10" t="s">
        <v>14</v>
      </c>
      <c r="K20" s="11"/>
      <c r="L20" s="11"/>
      <c r="M20" s="11"/>
    </row>
    <row r="21" customFormat="false" ht="30" hidden="false" customHeight="true" outlineLevel="0" collapsed="false">
      <c r="A21" s="4" t="s">
        <v>181</v>
      </c>
      <c r="B21" s="5" t="s">
        <v>182</v>
      </c>
      <c r="C21" s="5" t="s">
        <v>159</v>
      </c>
      <c r="D21" s="9" t="s">
        <v>25</v>
      </c>
      <c r="E21" s="5" t="s">
        <v>183</v>
      </c>
      <c r="F21" s="5" t="s">
        <v>83</v>
      </c>
      <c r="G21" s="5" t="s">
        <v>184</v>
      </c>
      <c r="H21" s="5" t="s">
        <v>185</v>
      </c>
      <c r="I21" s="5" t="s">
        <v>186</v>
      </c>
      <c r="J21" s="10" t="s">
        <v>14</v>
      </c>
      <c r="K21" s="11"/>
      <c r="L21" s="11"/>
      <c r="M21" s="11"/>
    </row>
    <row r="22" customFormat="false" ht="55.5" hidden="false" customHeight="true" outlineLevel="0" collapsed="false">
      <c r="A22" s="4" t="s">
        <v>187</v>
      </c>
      <c r="B22" s="5" t="s">
        <v>188</v>
      </c>
      <c r="C22" s="5" t="s">
        <v>159</v>
      </c>
      <c r="D22" s="9" t="s">
        <v>27</v>
      </c>
      <c r="E22" s="5" t="s">
        <v>189</v>
      </c>
      <c r="F22" s="5" t="s">
        <v>83</v>
      </c>
      <c r="G22" s="5" t="s">
        <v>190</v>
      </c>
      <c r="H22" s="5" t="s">
        <v>191</v>
      </c>
      <c r="I22" s="5" t="s">
        <v>192</v>
      </c>
      <c r="J22" s="10" t="s">
        <v>14</v>
      </c>
      <c r="K22" s="11"/>
      <c r="L22" s="11"/>
      <c r="M22" s="11"/>
    </row>
    <row r="23" customFormat="false" ht="30" hidden="false" customHeight="true" outlineLevel="0" collapsed="false">
      <c r="A23" s="4" t="s">
        <v>193</v>
      </c>
      <c r="B23" s="5" t="s">
        <v>194</v>
      </c>
      <c r="C23" s="5" t="s">
        <v>159</v>
      </c>
      <c r="D23" s="9" t="s">
        <v>27</v>
      </c>
      <c r="E23" s="5" t="s">
        <v>195</v>
      </c>
      <c r="F23" s="5" t="s">
        <v>83</v>
      </c>
      <c r="G23" s="5" t="s">
        <v>196</v>
      </c>
      <c r="H23" s="5" t="s">
        <v>197</v>
      </c>
      <c r="I23" s="5" t="s">
        <v>198</v>
      </c>
      <c r="J23" s="10" t="s">
        <v>14</v>
      </c>
      <c r="K23" s="11"/>
      <c r="L23" s="11"/>
      <c r="M23" s="11"/>
    </row>
    <row r="24" customFormat="false" ht="17.25" hidden="false" customHeight="true" outlineLevel="0" collapsed="false">
      <c r="A24" s="4" t="s">
        <v>199</v>
      </c>
      <c r="B24" s="5" t="s">
        <v>200</v>
      </c>
      <c r="C24" s="5" t="s">
        <v>159</v>
      </c>
      <c r="D24" s="9" t="s">
        <v>25</v>
      </c>
      <c r="E24" s="5" t="s">
        <v>201</v>
      </c>
      <c r="F24" s="5" t="s">
        <v>83</v>
      </c>
      <c r="G24" s="5" t="s">
        <v>202</v>
      </c>
      <c r="H24" s="5" t="s">
        <v>203</v>
      </c>
      <c r="I24" s="5" t="s">
        <v>204</v>
      </c>
      <c r="J24" s="10" t="s">
        <v>14</v>
      </c>
      <c r="K24" s="11"/>
      <c r="L24" s="11"/>
      <c r="M24" s="11"/>
    </row>
    <row r="25" customFormat="false" ht="42.75" hidden="false" customHeight="true" outlineLevel="0" collapsed="false">
      <c r="A25" s="4" t="s">
        <v>205</v>
      </c>
      <c r="B25" s="5" t="s">
        <v>206</v>
      </c>
      <c r="C25" s="5" t="s">
        <v>159</v>
      </c>
      <c r="D25" s="9" t="s">
        <v>25</v>
      </c>
      <c r="E25" s="5" t="s">
        <v>207</v>
      </c>
      <c r="F25" s="5" t="s">
        <v>83</v>
      </c>
      <c r="G25" s="5" t="s">
        <v>208</v>
      </c>
      <c r="H25" s="5" t="s">
        <v>209</v>
      </c>
      <c r="I25" s="5" t="s">
        <v>210</v>
      </c>
      <c r="J25" s="10" t="s">
        <v>14</v>
      </c>
      <c r="K25" s="11"/>
      <c r="L25" s="11"/>
      <c r="M25" s="11"/>
    </row>
    <row r="26" customFormat="false" ht="30" hidden="false" customHeight="true" outlineLevel="0" collapsed="false">
      <c r="A26" s="4" t="s">
        <v>211</v>
      </c>
      <c r="B26" s="5" t="s">
        <v>212</v>
      </c>
      <c r="C26" s="5" t="s">
        <v>159</v>
      </c>
      <c r="D26" s="9" t="s">
        <v>27</v>
      </c>
      <c r="E26" s="5" t="s">
        <v>213</v>
      </c>
      <c r="F26" s="5" t="s">
        <v>83</v>
      </c>
      <c r="G26" s="5" t="s">
        <v>214</v>
      </c>
      <c r="H26" s="5" t="s">
        <v>215</v>
      </c>
      <c r="I26" s="5" t="s">
        <v>216</v>
      </c>
      <c r="J26" s="10" t="s">
        <v>14</v>
      </c>
      <c r="K26" s="11"/>
      <c r="L26" s="11"/>
      <c r="M26" s="11"/>
    </row>
    <row r="27" customFormat="false" ht="30" hidden="false" customHeight="true" outlineLevel="0" collapsed="false">
      <c r="A27" s="4" t="s">
        <v>217</v>
      </c>
      <c r="B27" s="5" t="s">
        <v>218</v>
      </c>
      <c r="C27" s="5" t="s">
        <v>159</v>
      </c>
      <c r="D27" s="9" t="s">
        <v>27</v>
      </c>
      <c r="E27" s="5" t="s">
        <v>219</v>
      </c>
      <c r="F27" s="5" t="s">
        <v>83</v>
      </c>
      <c r="G27" s="5" t="s">
        <v>220</v>
      </c>
      <c r="H27" s="5" t="s">
        <v>221</v>
      </c>
      <c r="I27" s="5" t="s">
        <v>222</v>
      </c>
      <c r="J27" s="10" t="s">
        <v>14</v>
      </c>
      <c r="K27" s="11"/>
      <c r="L27" s="11"/>
      <c r="M27" s="11"/>
    </row>
    <row r="28" customFormat="false" ht="42.75" hidden="false" customHeight="true" outlineLevel="0" collapsed="false">
      <c r="A28" s="4" t="s">
        <v>223</v>
      </c>
      <c r="B28" s="5" t="s">
        <v>224</v>
      </c>
      <c r="C28" s="5" t="s">
        <v>159</v>
      </c>
      <c r="D28" s="9" t="s">
        <v>25</v>
      </c>
      <c r="E28" s="5" t="s">
        <v>225</v>
      </c>
      <c r="F28" s="5" t="s">
        <v>83</v>
      </c>
      <c r="G28" s="5" t="s">
        <v>226</v>
      </c>
      <c r="H28" s="5" t="s">
        <v>227</v>
      </c>
      <c r="I28" s="5" t="s">
        <v>228</v>
      </c>
      <c r="J28" s="10" t="s">
        <v>14</v>
      </c>
      <c r="K28" s="11"/>
      <c r="L28" s="11"/>
      <c r="M28" s="11"/>
    </row>
    <row r="29" customFormat="false" ht="30" hidden="false" customHeight="true" outlineLevel="0" collapsed="false">
      <c r="A29" s="4" t="s">
        <v>229</v>
      </c>
      <c r="B29" s="5" t="s">
        <v>230</v>
      </c>
      <c r="C29" s="5" t="s">
        <v>159</v>
      </c>
      <c r="D29" s="9" t="s">
        <v>27</v>
      </c>
      <c r="E29" s="5" t="s">
        <v>231</v>
      </c>
      <c r="F29" s="5" t="s">
        <v>83</v>
      </c>
      <c r="G29" s="5" t="s">
        <v>232</v>
      </c>
      <c r="H29" s="5" t="s">
        <v>233</v>
      </c>
      <c r="I29" s="5" t="s">
        <v>234</v>
      </c>
      <c r="J29" s="10" t="s">
        <v>14</v>
      </c>
      <c r="K29" s="11"/>
      <c r="L29" s="11"/>
      <c r="M29" s="11"/>
    </row>
    <row r="30" customFormat="false" ht="30" hidden="false" customHeight="true" outlineLevel="0" collapsed="false">
      <c r="A30" s="4" t="s">
        <v>235</v>
      </c>
      <c r="B30" s="5" t="s">
        <v>236</v>
      </c>
      <c r="C30" s="5" t="s">
        <v>159</v>
      </c>
      <c r="D30" s="9" t="s">
        <v>25</v>
      </c>
      <c r="E30" s="5" t="s">
        <v>237</v>
      </c>
      <c r="F30" s="5" t="s">
        <v>83</v>
      </c>
      <c r="G30" s="5" t="s">
        <v>238</v>
      </c>
      <c r="H30" s="5" t="s">
        <v>239</v>
      </c>
      <c r="I30" s="5" t="s">
        <v>240</v>
      </c>
      <c r="J30" s="10" t="s">
        <v>14</v>
      </c>
      <c r="K30" s="11"/>
      <c r="L30" s="11"/>
      <c r="M30" s="11"/>
    </row>
    <row r="31" customFormat="false" ht="55.5" hidden="false" customHeight="true" outlineLevel="0" collapsed="false">
      <c r="A31" s="4" t="s">
        <v>241</v>
      </c>
      <c r="B31" s="5" t="s">
        <v>242</v>
      </c>
      <c r="C31" s="5" t="s">
        <v>243</v>
      </c>
      <c r="D31" s="9" t="s">
        <v>25</v>
      </c>
      <c r="E31" s="5" t="s">
        <v>244</v>
      </c>
      <c r="F31" s="5" t="s">
        <v>83</v>
      </c>
      <c r="G31" s="5" t="s">
        <v>245</v>
      </c>
      <c r="H31" s="5" t="s">
        <v>246</v>
      </c>
      <c r="I31" s="5" t="s">
        <v>247</v>
      </c>
      <c r="J31" s="10" t="s">
        <v>14</v>
      </c>
      <c r="K31" s="11"/>
      <c r="L31" s="11"/>
      <c r="M31" s="11"/>
    </row>
    <row r="32" customFormat="false" ht="55.5" hidden="false" customHeight="true" outlineLevel="0" collapsed="false">
      <c r="A32" s="4" t="s">
        <v>248</v>
      </c>
      <c r="B32" s="5" t="s">
        <v>249</v>
      </c>
      <c r="C32" s="5" t="s">
        <v>243</v>
      </c>
      <c r="D32" s="9" t="s">
        <v>25</v>
      </c>
      <c r="E32" s="5" t="s">
        <v>250</v>
      </c>
      <c r="F32" s="5" t="s">
        <v>83</v>
      </c>
      <c r="G32" s="5" t="s">
        <v>251</v>
      </c>
      <c r="H32" s="5" t="s">
        <v>252</v>
      </c>
      <c r="I32" s="5" t="s">
        <v>253</v>
      </c>
      <c r="J32" s="10" t="s">
        <v>14</v>
      </c>
      <c r="K32" s="11"/>
      <c r="L32" s="11"/>
      <c r="M32" s="11"/>
    </row>
    <row r="33" customFormat="false" ht="30" hidden="false" customHeight="true" outlineLevel="0" collapsed="false">
      <c r="A33" s="4" t="s">
        <v>254</v>
      </c>
      <c r="B33" s="5" t="s">
        <v>255</v>
      </c>
      <c r="C33" s="5" t="s">
        <v>243</v>
      </c>
      <c r="D33" s="9" t="s">
        <v>25</v>
      </c>
      <c r="E33" s="5" t="s">
        <v>256</v>
      </c>
      <c r="F33" s="5" t="s">
        <v>257</v>
      </c>
      <c r="G33" s="5" t="s">
        <v>258</v>
      </c>
      <c r="H33" s="5" t="s">
        <v>259</v>
      </c>
      <c r="I33" s="5" t="s">
        <v>260</v>
      </c>
      <c r="J33" s="10" t="s">
        <v>14</v>
      </c>
      <c r="K33" s="11"/>
      <c r="L33" s="11"/>
      <c r="M33" s="11"/>
    </row>
    <row r="34" customFormat="false" ht="30" hidden="false" customHeight="true" outlineLevel="0" collapsed="false">
      <c r="A34" s="4" t="s">
        <v>261</v>
      </c>
      <c r="B34" s="5" t="s">
        <v>262</v>
      </c>
      <c r="C34" s="5" t="s">
        <v>243</v>
      </c>
      <c r="D34" s="9" t="s">
        <v>25</v>
      </c>
      <c r="E34" s="5" t="s">
        <v>263</v>
      </c>
      <c r="F34" s="5" t="s">
        <v>257</v>
      </c>
      <c r="G34" s="5" t="s">
        <v>264</v>
      </c>
      <c r="H34" s="5" t="s">
        <v>265</v>
      </c>
      <c r="I34" s="5" t="s">
        <v>266</v>
      </c>
      <c r="J34" s="10" t="s">
        <v>14</v>
      </c>
      <c r="K34" s="11"/>
      <c r="L34" s="11"/>
      <c r="M34" s="11"/>
    </row>
    <row r="35" customFormat="false" ht="30" hidden="false" customHeight="true" outlineLevel="0" collapsed="false">
      <c r="A35" s="4" t="s">
        <v>267</v>
      </c>
      <c r="B35" s="4" t="s">
        <v>268</v>
      </c>
      <c r="C35" s="5" t="s">
        <v>243</v>
      </c>
      <c r="D35" s="9" t="s">
        <v>27</v>
      </c>
      <c r="E35" s="5" t="s">
        <v>256</v>
      </c>
      <c r="F35" s="5" t="s">
        <v>83</v>
      </c>
      <c r="G35" s="5" t="s">
        <v>269</v>
      </c>
      <c r="H35" s="5" t="s">
        <v>270</v>
      </c>
      <c r="I35" s="5" t="s">
        <v>266</v>
      </c>
      <c r="J35" s="10" t="s">
        <v>14</v>
      </c>
      <c r="K35" s="11"/>
      <c r="L35" s="11"/>
      <c r="M35" s="11"/>
    </row>
    <row r="36" customFormat="false" ht="30" hidden="false" customHeight="true" outlineLevel="0" collapsed="false">
      <c r="A36" s="4" t="s">
        <v>271</v>
      </c>
      <c r="B36" s="4" t="s">
        <v>272</v>
      </c>
      <c r="C36" s="5" t="s">
        <v>243</v>
      </c>
      <c r="D36" s="9" t="s">
        <v>27</v>
      </c>
      <c r="E36" s="5" t="s">
        <v>263</v>
      </c>
      <c r="F36" s="5" t="s">
        <v>83</v>
      </c>
      <c r="G36" s="5" t="s">
        <v>264</v>
      </c>
      <c r="H36" s="5" t="s">
        <v>273</v>
      </c>
      <c r="I36" s="5" t="s">
        <v>274</v>
      </c>
      <c r="J36" s="10" t="s">
        <v>14</v>
      </c>
      <c r="K36" s="11"/>
      <c r="L36" s="11"/>
      <c r="M36" s="11"/>
    </row>
    <row r="37" customFormat="false" ht="30" hidden="false" customHeight="true" outlineLevel="0" collapsed="false">
      <c r="A37" s="4" t="s">
        <v>275</v>
      </c>
      <c r="B37" s="5" t="s">
        <v>276</v>
      </c>
      <c r="C37" s="5" t="s">
        <v>243</v>
      </c>
      <c r="D37" s="9" t="s">
        <v>25</v>
      </c>
      <c r="E37" s="5" t="s">
        <v>277</v>
      </c>
      <c r="F37" s="5" t="s">
        <v>278</v>
      </c>
      <c r="G37" s="5" t="s">
        <v>279</v>
      </c>
      <c r="H37" s="5" t="s">
        <v>280</v>
      </c>
      <c r="I37" s="5" t="s">
        <v>247</v>
      </c>
      <c r="J37" s="10" t="s">
        <v>14</v>
      </c>
      <c r="K37" s="11"/>
      <c r="L37" s="11"/>
      <c r="M37" s="11"/>
    </row>
    <row r="38" customFormat="false" ht="42.75" hidden="false" customHeight="true" outlineLevel="0" collapsed="false">
      <c r="A38" s="4" t="s">
        <v>281</v>
      </c>
      <c r="B38" s="5" t="s">
        <v>282</v>
      </c>
      <c r="C38" s="5" t="s">
        <v>243</v>
      </c>
      <c r="D38" s="9" t="s">
        <v>27</v>
      </c>
      <c r="E38" s="5" t="s">
        <v>283</v>
      </c>
      <c r="F38" s="5" t="s">
        <v>257</v>
      </c>
      <c r="G38" s="5" t="s">
        <v>284</v>
      </c>
      <c r="H38" s="5" t="s">
        <v>285</v>
      </c>
      <c r="I38" s="5" t="s">
        <v>286</v>
      </c>
      <c r="J38" s="10" t="s">
        <v>14</v>
      </c>
      <c r="K38" s="11"/>
      <c r="L38" s="11"/>
      <c r="M38" s="11"/>
    </row>
    <row r="39" customFormat="false" ht="42.75" hidden="false" customHeight="true" outlineLevel="0" collapsed="false">
      <c r="A39" s="4" t="s">
        <v>287</v>
      </c>
      <c r="B39" s="5" t="s">
        <v>288</v>
      </c>
      <c r="C39" s="5" t="s">
        <v>243</v>
      </c>
      <c r="D39" s="9" t="s">
        <v>27</v>
      </c>
      <c r="E39" s="5" t="s">
        <v>289</v>
      </c>
      <c r="F39" s="5" t="s">
        <v>83</v>
      </c>
      <c r="G39" s="5" t="s">
        <v>290</v>
      </c>
      <c r="H39" s="5" t="s">
        <v>291</v>
      </c>
      <c r="I39" s="5" t="s">
        <v>292</v>
      </c>
      <c r="J39" s="10" t="s">
        <v>14</v>
      </c>
      <c r="K39" s="11"/>
      <c r="L39" s="11"/>
      <c r="M39" s="11"/>
    </row>
    <row r="40" customFormat="false" ht="42.75" hidden="false" customHeight="true" outlineLevel="0" collapsed="false">
      <c r="A40" s="4" t="s">
        <v>293</v>
      </c>
      <c r="B40" s="5" t="s">
        <v>294</v>
      </c>
      <c r="C40" s="5" t="s">
        <v>243</v>
      </c>
      <c r="D40" s="9" t="s">
        <v>29</v>
      </c>
      <c r="E40" s="5" t="s">
        <v>219</v>
      </c>
      <c r="F40" s="5" t="s">
        <v>83</v>
      </c>
      <c r="G40" s="5" t="s">
        <v>295</v>
      </c>
      <c r="H40" s="5" t="s">
        <v>296</v>
      </c>
      <c r="I40" s="5" t="s">
        <v>297</v>
      </c>
      <c r="J40" s="10" t="s">
        <v>14</v>
      </c>
      <c r="K40" s="11"/>
      <c r="L40" s="11"/>
      <c r="M40" s="11"/>
    </row>
    <row r="41" customFormat="false" ht="42.75" hidden="false" customHeight="true" outlineLevel="0" collapsed="false">
      <c r="A41" s="4" t="s">
        <v>298</v>
      </c>
      <c r="B41" s="5" t="s">
        <v>299</v>
      </c>
      <c r="C41" s="5" t="s">
        <v>300</v>
      </c>
      <c r="D41" s="9" t="s">
        <v>25</v>
      </c>
      <c r="E41" s="5" t="s">
        <v>301</v>
      </c>
      <c r="F41" s="5" t="s">
        <v>83</v>
      </c>
      <c r="G41" s="5" t="s">
        <v>302</v>
      </c>
      <c r="H41" s="5" t="s">
        <v>303</v>
      </c>
      <c r="I41" s="5" t="s">
        <v>304</v>
      </c>
      <c r="J41" s="10" t="s">
        <v>14</v>
      </c>
      <c r="K41" s="11"/>
      <c r="L41" s="11"/>
      <c r="M41" s="11"/>
    </row>
    <row r="42" customFormat="false" ht="30" hidden="false" customHeight="true" outlineLevel="0" collapsed="false">
      <c r="A42" s="4" t="s">
        <v>305</v>
      </c>
      <c r="B42" s="5" t="s">
        <v>306</v>
      </c>
      <c r="C42" s="5" t="s">
        <v>300</v>
      </c>
      <c r="D42" s="9" t="s">
        <v>25</v>
      </c>
      <c r="E42" s="5" t="s">
        <v>307</v>
      </c>
      <c r="F42" s="5" t="s">
        <v>83</v>
      </c>
      <c r="G42" s="5" t="s">
        <v>308</v>
      </c>
      <c r="H42" s="5" t="s">
        <v>309</v>
      </c>
      <c r="I42" s="5" t="s">
        <v>310</v>
      </c>
      <c r="J42" s="10" t="s">
        <v>14</v>
      </c>
      <c r="K42" s="11"/>
      <c r="L42" s="11"/>
      <c r="M42" s="11"/>
    </row>
    <row r="43" customFormat="false" ht="30" hidden="false" customHeight="true" outlineLevel="0" collapsed="false">
      <c r="A43" s="4" t="s">
        <v>311</v>
      </c>
      <c r="B43" s="5" t="s">
        <v>312</v>
      </c>
      <c r="C43" s="5" t="s">
        <v>300</v>
      </c>
      <c r="D43" s="9" t="s">
        <v>27</v>
      </c>
      <c r="E43" s="5" t="s">
        <v>307</v>
      </c>
      <c r="F43" s="5" t="s">
        <v>83</v>
      </c>
      <c r="G43" s="5" t="s">
        <v>313</v>
      </c>
      <c r="H43" s="5" t="s">
        <v>314</v>
      </c>
      <c r="I43" s="5" t="s">
        <v>310</v>
      </c>
      <c r="J43" s="10" t="s">
        <v>14</v>
      </c>
      <c r="K43" s="11"/>
      <c r="L43" s="11"/>
      <c r="M43" s="11"/>
    </row>
    <row r="44" customFormat="false" ht="30" hidden="false" customHeight="true" outlineLevel="0" collapsed="false">
      <c r="A44" s="4" t="s">
        <v>315</v>
      </c>
      <c r="B44" s="5" t="s">
        <v>316</v>
      </c>
      <c r="C44" s="5" t="s">
        <v>300</v>
      </c>
      <c r="D44" s="9" t="s">
        <v>25</v>
      </c>
      <c r="E44" s="5" t="s">
        <v>307</v>
      </c>
      <c r="F44" s="5" t="s">
        <v>83</v>
      </c>
      <c r="G44" s="5" t="s">
        <v>317</v>
      </c>
      <c r="H44" s="5" t="s">
        <v>318</v>
      </c>
      <c r="I44" s="5" t="s">
        <v>310</v>
      </c>
      <c r="J44" s="10" t="s">
        <v>14</v>
      </c>
      <c r="K44" s="11"/>
      <c r="L44" s="11"/>
      <c r="M44" s="11"/>
    </row>
    <row r="45" customFormat="false" ht="81" hidden="false" customHeight="true" outlineLevel="0" collapsed="false">
      <c r="A45" s="4" t="s">
        <v>319</v>
      </c>
      <c r="B45" s="5" t="s">
        <v>320</v>
      </c>
      <c r="C45" s="5" t="s">
        <v>300</v>
      </c>
      <c r="D45" s="9" t="s">
        <v>25</v>
      </c>
      <c r="E45" s="5" t="s">
        <v>321</v>
      </c>
      <c r="F45" s="5" t="s">
        <v>322</v>
      </c>
      <c r="G45" s="5" t="s">
        <v>323</v>
      </c>
      <c r="H45" s="5" t="s">
        <v>324</v>
      </c>
      <c r="I45" s="5" t="s">
        <v>325</v>
      </c>
      <c r="J45" s="10" t="s">
        <v>14</v>
      </c>
      <c r="K45" s="11"/>
      <c r="L45" s="11"/>
      <c r="M45" s="11"/>
    </row>
    <row r="46" customFormat="false" ht="42.75" hidden="false" customHeight="true" outlineLevel="0" collapsed="false">
      <c r="A46" s="4" t="s">
        <v>326</v>
      </c>
      <c r="B46" s="5" t="s">
        <v>327</v>
      </c>
      <c r="C46" s="5" t="s">
        <v>300</v>
      </c>
      <c r="D46" s="9" t="s">
        <v>25</v>
      </c>
      <c r="E46" s="5" t="s">
        <v>328</v>
      </c>
      <c r="F46" s="5" t="s">
        <v>329</v>
      </c>
      <c r="G46" s="5" t="s">
        <v>330</v>
      </c>
      <c r="H46" s="5" t="s">
        <v>331</v>
      </c>
      <c r="I46" s="5" t="s">
        <v>332</v>
      </c>
      <c r="J46" s="10" t="s">
        <v>14</v>
      </c>
      <c r="K46" s="11"/>
      <c r="L46" s="11"/>
      <c r="M46" s="11"/>
    </row>
    <row r="47" customFormat="false" ht="119.25" hidden="false" customHeight="true" outlineLevel="0" collapsed="false">
      <c r="A47" s="4" t="s">
        <v>333</v>
      </c>
      <c r="B47" s="4" t="s">
        <v>334</v>
      </c>
      <c r="C47" s="5" t="s">
        <v>300</v>
      </c>
      <c r="D47" s="9" t="s">
        <v>25</v>
      </c>
      <c r="E47" s="5" t="s">
        <v>328</v>
      </c>
      <c r="F47" s="5" t="s">
        <v>83</v>
      </c>
      <c r="G47" s="5" t="s">
        <v>335</v>
      </c>
      <c r="H47" s="5" t="s">
        <v>336</v>
      </c>
      <c r="I47" s="5" t="s">
        <v>337</v>
      </c>
      <c r="J47" s="10" t="s">
        <v>14</v>
      </c>
      <c r="K47" s="11"/>
      <c r="L47" s="11"/>
      <c r="M47" s="11"/>
    </row>
    <row r="48" customFormat="false" ht="42.75" hidden="false" customHeight="true" outlineLevel="0" collapsed="false">
      <c r="A48" s="4" t="s">
        <v>338</v>
      </c>
      <c r="B48" s="5" t="s">
        <v>339</v>
      </c>
      <c r="C48" s="5" t="s">
        <v>300</v>
      </c>
      <c r="D48" s="9" t="s">
        <v>27</v>
      </c>
      <c r="E48" s="5" t="s">
        <v>340</v>
      </c>
      <c r="F48" s="5" t="s">
        <v>341</v>
      </c>
      <c r="G48" s="5" t="s">
        <v>342</v>
      </c>
      <c r="H48" s="5" t="s">
        <v>343</v>
      </c>
      <c r="I48" s="5" t="s">
        <v>344</v>
      </c>
      <c r="J48" s="10" t="s">
        <v>14</v>
      </c>
      <c r="K48" s="11"/>
      <c r="L48" s="11"/>
      <c r="M48" s="11"/>
    </row>
    <row r="49" customFormat="false" ht="106.5" hidden="false" customHeight="true" outlineLevel="0" collapsed="false">
      <c r="A49" s="4" t="s">
        <v>345</v>
      </c>
      <c r="B49" s="5" t="s">
        <v>346</v>
      </c>
      <c r="C49" s="5" t="s">
        <v>300</v>
      </c>
      <c r="D49" s="9" t="s">
        <v>27</v>
      </c>
      <c r="E49" s="5" t="s">
        <v>347</v>
      </c>
      <c r="F49" s="5" t="s">
        <v>348</v>
      </c>
      <c r="G49" s="5" t="s">
        <v>154</v>
      </c>
      <c r="H49" s="5" t="s">
        <v>349</v>
      </c>
      <c r="I49" s="5" t="s">
        <v>156</v>
      </c>
      <c r="J49" s="10" t="s">
        <v>14</v>
      </c>
      <c r="K49" s="11"/>
      <c r="L49" s="11"/>
      <c r="M49" s="11"/>
    </row>
    <row r="50" customFormat="false" ht="30" hidden="false" customHeight="true" outlineLevel="0" collapsed="false">
      <c r="A50" s="4" t="s">
        <v>350</v>
      </c>
      <c r="B50" s="5" t="s">
        <v>351</v>
      </c>
      <c r="C50" s="5" t="s">
        <v>352</v>
      </c>
      <c r="D50" s="9" t="s">
        <v>27</v>
      </c>
      <c r="E50" s="5" t="s">
        <v>353</v>
      </c>
      <c r="F50" s="5" t="s">
        <v>83</v>
      </c>
      <c r="G50" s="5" t="s">
        <v>354</v>
      </c>
      <c r="H50" s="5" t="s">
        <v>355</v>
      </c>
      <c r="I50" s="5" t="s">
        <v>356</v>
      </c>
      <c r="J50" s="10" t="s">
        <v>14</v>
      </c>
      <c r="K50" s="11"/>
      <c r="L50" s="11"/>
      <c r="M50" s="11"/>
    </row>
    <row r="51" customFormat="false" ht="30" hidden="false" customHeight="true" outlineLevel="0" collapsed="false">
      <c r="A51" s="4" t="s">
        <v>357</v>
      </c>
      <c r="B51" s="5" t="s">
        <v>358</v>
      </c>
      <c r="C51" s="5" t="s">
        <v>352</v>
      </c>
      <c r="D51" s="9" t="s">
        <v>29</v>
      </c>
      <c r="E51" s="5" t="s">
        <v>359</v>
      </c>
      <c r="F51" s="5" t="s">
        <v>83</v>
      </c>
      <c r="G51" s="5" t="s">
        <v>360</v>
      </c>
      <c r="H51" s="5" t="s">
        <v>361</v>
      </c>
      <c r="I51" s="5" t="s">
        <v>362</v>
      </c>
      <c r="J51" s="10" t="s">
        <v>14</v>
      </c>
      <c r="K51" s="11"/>
      <c r="L51" s="11"/>
      <c r="M51" s="11"/>
    </row>
    <row r="52" customFormat="false" ht="30" hidden="false" customHeight="true" outlineLevel="0" collapsed="false">
      <c r="A52" s="4" t="s">
        <v>363</v>
      </c>
      <c r="B52" s="5" t="s">
        <v>364</v>
      </c>
      <c r="C52" s="5" t="s">
        <v>352</v>
      </c>
      <c r="D52" s="9" t="s">
        <v>29</v>
      </c>
      <c r="E52" s="5" t="s">
        <v>365</v>
      </c>
      <c r="F52" s="5" t="s">
        <v>83</v>
      </c>
      <c r="G52" s="5" t="s">
        <v>366</v>
      </c>
      <c r="H52" s="5" t="s">
        <v>367</v>
      </c>
      <c r="I52" s="5" t="s">
        <v>368</v>
      </c>
      <c r="J52" s="10" t="s">
        <v>14</v>
      </c>
      <c r="K52" s="11"/>
      <c r="L52" s="11"/>
      <c r="M52" s="11"/>
    </row>
    <row r="53" customFormat="false" ht="81" hidden="false" customHeight="true" outlineLevel="0" collapsed="false">
      <c r="A53" s="4" t="s">
        <v>369</v>
      </c>
      <c r="B53" s="5" t="s">
        <v>370</v>
      </c>
      <c r="C53" s="5" t="s">
        <v>352</v>
      </c>
      <c r="D53" s="9" t="s">
        <v>27</v>
      </c>
      <c r="E53" s="5" t="s">
        <v>371</v>
      </c>
      <c r="F53" s="5" t="s">
        <v>83</v>
      </c>
      <c r="G53" s="5" t="s">
        <v>372</v>
      </c>
      <c r="H53" s="5" t="s">
        <v>373</v>
      </c>
      <c r="I53" s="5" t="s">
        <v>374</v>
      </c>
      <c r="J53" s="10" t="s">
        <v>14</v>
      </c>
      <c r="K53" s="11"/>
      <c r="L53" s="11"/>
      <c r="M53" s="11"/>
    </row>
    <row r="54" customFormat="false" ht="30" hidden="false" customHeight="true" outlineLevel="0" collapsed="false">
      <c r="A54" s="4" t="s">
        <v>375</v>
      </c>
      <c r="B54" s="5" t="s">
        <v>376</v>
      </c>
      <c r="C54" s="5" t="s">
        <v>352</v>
      </c>
      <c r="D54" s="9" t="s">
        <v>27</v>
      </c>
      <c r="E54" s="5" t="s">
        <v>377</v>
      </c>
      <c r="F54" s="5" t="s">
        <v>83</v>
      </c>
      <c r="G54" s="5" t="s">
        <v>378</v>
      </c>
      <c r="H54" s="5" t="s">
        <v>379</v>
      </c>
      <c r="I54" s="5" t="s">
        <v>380</v>
      </c>
      <c r="J54" s="10" t="s">
        <v>14</v>
      </c>
      <c r="K54" s="11"/>
      <c r="L54" s="11"/>
      <c r="M54" s="11"/>
    </row>
    <row r="55" customFormat="false" ht="30" hidden="false" customHeight="true" outlineLevel="0" collapsed="false">
      <c r="A55" s="4" t="s">
        <v>381</v>
      </c>
      <c r="B55" s="5" t="s">
        <v>382</v>
      </c>
      <c r="C55" s="5" t="s">
        <v>43</v>
      </c>
      <c r="D55" s="9" t="s">
        <v>27</v>
      </c>
      <c r="E55" s="5" t="s">
        <v>383</v>
      </c>
      <c r="F55" s="5" t="s">
        <v>83</v>
      </c>
      <c r="G55" s="5" t="s">
        <v>384</v>
      </c>
      <c r="H55" s="5" t="s">
        <v>385</v>
      </c>
      <c r="I55" s="5" t="s">
        <v>386</v>
      </c>
      <c r="J55" s="10" t="s">
        <v>14</v>
      </c>
      <c r="K55" s="11"/>
      <c r="L55" s="11"/>
      <c r="M55" s="11"/>
    </row>
    <row r="56" customFormat="false" ht="42.75" hidden="false" customHeight="true" outlineLevel="0" collapsed="false">
      <c r="A56" s="4" t="s">
        <v>387</v>
      </c>
      <c r="B56" s="5" t="s">
        <v>388</v>
      </c>
      <c r="C56" s="5" t="s">
        <v>43</v>
      </c>
      <c r="D56" s="9" t="s">
        <v>25</v>
      </c>
      <c r="E56" s="5" t="s">
        <v>389</v>
      </c>
      <c r="F56" s="5" t="s">
        <v>83</v>
      </c>
      <c r="G56" s="5" t="s">
        <v>390</v>
      </c>
      <c r="H56" s="5" t="s">
        <v>391</v>
      </c>
      <c r="I56" s="5" t="s">
        <v>392</v>
      </c>
      <c r="J56" s="10" t="s">
        <v>14</v>
      </c>
      <c r="K56" s="11"/>
      <c r="L56" s="11"/>
      <c r="M56" s="11"/>
    </row>
    <row r="57" customFormat="false" ht="42.75" hidden="false" customHeight="true" outlineLevel="0" collapsed="false">
      <c r="A57" s="4" t="s">
        <v>393</v>
      </c>
      <c r="B57" s="5" t="s">
        <v>394</v>
      </c>
      <c r="C57" s="5" t="s">
        <v>43</v>
      </c>
      <c r="D57" s="9" t="s">
        <v>27</v>
      </c>
      <c r="E57" s="5" t="s">
        <v>395</v>
      </c>
      <c r="F57" s="5" t="s">
        <v>83</v>
      </c>
      <c r="G57" s="5" t="s">
        <v>396</v>
      </c>
      <c r="H57" s="5" t="s">
        <v>397</v>
      </c>
      <c r="I57" s="5" t="s">
        <v>398</v>
      </c>
      <c r="J57" s="10" t="s">
        <v>14</v>
      </c>
      <c r="K57" s="11"/>
      <c r="L57" s="11"/>
      <c r="M57" s="11"/>
    </row>
    <row r="58" customFormat="false" ht="42.75" hidden="false" customHeight="true" outlineLevel="0" collapsed="false">
      <c r="A58" s="4" t="s">
        <v>399</v>
      </c>
      <c r="B58" s="5" t="s">
        <v>400</v>
      </c>
      <c r="C58" s="5" t="s">
        <v>43</v>
      </c>
      <c r="D58" s="9" t="s">
        <v>27</v>
      </c>
      <c r="E58" s="5" t="s">
        <v>401</v>
      </c>
      <c r="F58" s="5" t="s">
        <v>83</v>
      </c>
      <c r="G58" s="5" t="s">
        <v>402</v>
      </c>
      <c r="H58" s="5" t="s">
        <v>403</v>
      </c>
      <c r="I58" s="5" t="s">
        <v>398</v>
      </c>
      <c r="J58" s="10" t="s">
        <v>14</v>
      </c>
      <c r="K58" s="11"/>
      <c r="L58" s="11"/>
      <c r="M58" s="11"/>
    </row>
    <row r="59" customFormat="false" ht="81" hidden="false" customHeight="true" outlineLevel="0" collapsed="false">
      <c r="A59" s="4" t="s">
        <v>404</v>
      </c>
      <c r="B59" s="5" t="s">
        <v>405</v>
      </c>
      <c r="C59" s="5" t="s">
        <v>43</v>
      </c>
      <c r="D59" s="9" t="s">
        <v>27</v>
      </c>
      <c r="E59" s="5" t="s">
        <v>406</v>
      </c>
      <c r="F59" s="5" t="s">
        <v>83</v>
      </c>
      <c r="G59" s="5" t="s">
        <v>407</v>
      </c>
      <c r="H59" s="5" t="s">
        <v>408</v>
      </c>
      <c r="I59" s="5" t="s">
        <v>409</v>
      </c>
      <c r="J59" s="10" t="s">
        <v>14</v>
      </c>
      <c r="K59" s="11"/>
      <c r="L59" s="11"/>
      <c r="M59" s="11"/>
    </row>
    <row r="60" customFormat="false" ht="81" hidden="false" customHeight="true" outlineLevel="0" collapsed="false">
      <c r="A60" s="4" t="s">
        <v>410</v>
      </c>
      <c r="B60" s="5" t="s">
        <v>411</v>
      </c>
      <c r="C60" s="5" t="s">
        <v>43</v>
      </c>
      <c r="D60" s="9" t="s">
        <v>25</v>
      </c>
      <c r="E60" s="5" t="s">
        <v>412</v>
      </c>
      <c r="F60" s="5" t="s">
        <v>413</v>
      </c>
      <c r="G60" s="5" t="s">
        <v>414</v>
      </c>
      <c r="H60" s="5" t="s">
        <v>415</v>
      </c>
      <c r="I60" s="5" t="s">
        <v>416</v>
      </c>
      <c r="J60" s="10" t="s">
        <v>14</v>
      </c>
      <c r="K60" s="11"/>
      <c r="L60" s="11"/>
      <c r="M60" s="11"/>
    </row>
    <row r="61" customFormat="false" ht="68.25" hidden="false" customHeight="true" outlineLevel="0" collapsed="false">
      <c r="A61" s="4" t="s">
        <v>417</v>
      </c>
      <c r="B61" s="5" t="s">
        <v>418</v>
      </c>
      <c r="C61" s="5" t="s">
        <v>43</v>
      </c>
      <c r="D61" s="9" t="s">
        <v>27</v>
      </c>
      <c r="E61" s="5" t="s">
        <v>419</v>
      </c>
      <c r="F61" s="5" t="s">
        <v>420</v>
      </c>
      <c r="G61" s="5" t="s">
        <v>421</v>
      </c>
      <c r="H61" s="5" t="s">
        <v>422</v>
      </c>
      <c r="I61" s="5" t="s">
        <v>423</v>
      </c>
      <c r="J61" s="10" t="s">
        <v>14</v>
      </c>
      <c r="K61" s="11"/>
      <c r="L61" s="11"/>
      <c r="M61" s="11"/>
    </row>
    <row r="62" customFormat="false" ht="42.75" hidden="false" customHeight="true" outlineLevel="0" collapsed="false">
      <c r="A62" s="4" t="s">
        <v>424</v>
      </c>
      <c r="B62" s="5" t="s">
        <v>425</v>
      </c>
      <c r="C62" s="5" t="s">
        <v>43</v>
      </c>
      <c r="D62" s="9" t="s">
        <v>27</v>
      </c>
      <c r="E62" s="5" t="s">
        <v>426</v>
      </c>
      <c r="F62" s="5" t="s">
        <v>427</v>
      </c>
      <c r="G62" s="5" t="s">
        <v>428</v>
      </c>
      <c r="H62" s="5" t="s">
        <v>429</v>
      </c>
      <c r="I62" s="5" t="s">
        <v>392</v>
      </c>
      <c r="J62" s="10" t="s">
        <v>14</v>
      </c>
      <c r="K62" s="11"/>
      <c r="L62" s="11"/>
      <c r="M62" s="11"/>
    </row>
    <row r="63" customFormat="false" ht="81" hidden="false" customHeight="true" outlineLevel="0" collapsed="false">
      <c r="A63" s="4" t="s">
        <v>430</v>
      </c>
      <c r="B63" s="5" t="s">
        <v>431</v>
      </c>
      <c r="C63" s="5" t="s">
        <v>43</v>
      </c>
      <c r="D63" s="9" t="s">
        <v>27</v>
      </c>
      <c r="E63" s="5" t="s">
        <v>432</v>
      </c>
      <c r="F63" s="5" t="s">
        <v>433</v>
      </c>
      <c r="G63" s="5" t="s">
        <v>434</v>
      </c>
      <c r="H63" s="5" t="s">
        <v>435</v>
      </c>
      <c r="I63" s="5" t="s">
        <v>436</v>
      </c>
      <c r="J63" s="10" t="s">
        <v>14</v>
      </c>
      <c r="K63" s="11"/>
      <c r="L63" s="11"/>
      <c r="M63" s="11"/>
    </row>
    <row r="64" customFormat="false" ht="42.75" hidden="false" customHeight="true" outlineLevel="0" collapsed="false">
      <c r="A64" s="4" t="s">
        <v>437</v>
      </c>
      <c r="B64" s="5" t="s">
        <v>438</v>
      </c>
      <c r="C64" s="5" t="s">
        <v>43</v>
      </c>
      <c r="D64" s="9" t="s">
        <v>27</v>
      </c>
      <c r="E64" s="5" t="s">
        <v>383</v>
      </c>
      <c r="F64" s="5" t="s">
        <v>439</v>
      </c>
      <c r="G64" s="5" t="s">
        <v>440</v>
      </c>
      <c r="H64" s="5" t="s">
        <v>441</v>
      </c>
      <c r="I64" s="5" t="s">
        <v>442</v>
      </c>
      <c r="J64" s="10" t="s">
        <v>14</v>
      </c>
      <c r="K64" s="11"/>
      <c r="L64" s="11"/>
      <c r="M64" s="11"/>
    </row>
    <row r="65" customFormat="false" ht="81" hidden="false" customHeight="true" outlineLevel="0" collapsed="false">
      <c r="A65" s="4" t="s">
        <v>443</v>
      </c>
      <c r="B65" s="5" t="s">
        <v>444</v>
      </c>
      <c r="C65" s="5" t="s">
        <v>43</v>
      </c>
      <c r="D65" s="9" t="s">
        <v>29</v>
      </c>
      <c r="E65" s="5" t="s">
        <v>383</v>
      </c>
      <c r="F65" s="5" t="s">
        <v>445</v>
      </c>
      <c r="G65" s="5" t="s">
        <v>446</v>
      </c>
      <c r="H65" s="5" t="s">
        <v>447</v>
      </c>
      <c r="I65" s="5" t="s">
        <v>448</v>
      </c>
      <c r="J65" s="10" t="s">
        <v>14</v>
      </c>
      <c r="K65" s="11"/>
      <c r="L65" s="11"/>
      <c r="M65" s="11"/>
    </row>
    <row r="66" customFormat="false" ht="68.25" hidden="false" customHeight="true" outlineLevel="0" collapsed="false">
      <c r="A66" s="4" t="s">
        <v>449</v>
      </c>
      <c r="B66" s="5" t="s">
        <v>450</v>
      </c>
      <c r="C66" s="5" t="s">
        <v>451</v>
      </c>
      <c r="D66" s="9" t="s">
        <v>25</v>
      </c>
      <c r="E66" s="5" t="s">
        <v>452</v>
      </c>
      <c r="F66" s="5" t="s">
        <v>83</v>
      </c>
      <c r="G66" s="5" t="s">
        <v>453</v>
      </c>
      <c r="H66" s="5" t="s">
        <v>454</v>
      </c>
      <c r="I66" s="5" t="s">
        <v>455</v>
      </c>
      <c r="J66" s="10" t="s">
        <v>14</v>
      </c>
      <c r="K66" s="11"/>
      <c r="L66" s="11"/>
      <c r="M66" s="11"/>
    </row>
    <row r="67" customFormat="false" ht="55.5" hidden="false" customHeight="true" outlineLevel="0" collapsed="false">
      <c r="A67" s="4" t="s">
        <v>456</v>
      </c>
      <c r="B67" s="5" t="s">
        <v>457</v>
      </c>
      <c r="C67" s="5" t="s">
        <v>451</v>
      </c>
      <c r="D67" s="9" t="s">
        <v>25</v>
      </c>
      <c r="E67" s="5" t="s">
        <v>458</v>
      </c>
      <c r="F67" s="5" t="s">
        <v>83</v>
      </c>
      <c r="G67" s="5" t="s">
        <v>459</v>
      </c>
      <c r="H67" s="5" t="s">
        <v>460</v>
      </c>
      <c r="I67" s="5" t="s">
        <v>461</v>
      </c>
      <c r="J67" s="10" t="s">
        <v>14</v>
      </c>
      <c r="K67" s="11"/>
      <c r="L67" s="11"/>
      <c r="M67" s="11"/>
    </row>
    <row r="68" customFormat="false" ht="30" hidden="false" customHeight="true" outlineLevel="0" collapsed="false">
      <c r="A68" s="4" t="s">
        <v>462</v>
      </c>
      <c r="B68" s="5" t="s">
        <v>463</v>
      </c>
      <c r="C68" s="5" t="s">
        <v>451</v>
      </c>
      <c r="D68" s="9" t="s">
        <v>27</v>
      </c>
      <c r="E68" s="5" t="s">
        <v>464</v>
      </c>
      <c r="F68" s="5" t="s">
        <v>83</v>
      </c>
      <c r="G68" s="5" t="s">
        <v>465</v>
      </c>
      <c r="H68" s="5" t="s">
        <v>466</v>
      </c>
      <c r="I68" s="5" t="s">
        <v>228</v>
      </c>
      <c r="J68" s="10" t="s">
        <v>14</v>
      </c>
      <c r="K68" s="11"/>
      <c r="L68" s="11"/>
      <c r="M68" s="11"/>
    </row>
    <row r="69" customFormat="false" ht="81" hidden="false" customHeight="true" outlineLevel="0" collapsed="false">
      <c r="A69" s="4" t="s">
        <v>467</v>
      </c>
      <c r="B69" s="5" t="s">
        <v>159</v>
      </c>
      <c r="C69" s="5" t="s">
        <v>451</v>
      </c>
      <c r="D69" s="9" t="s">
        <v>27</v>
      </c>
      <c r="E69" s="5" t="s">
        <v>468</v>
      </c>
      <c r="F69" s="5" t="s">
        <v>83</v>
      </c>
      <c r="G69" s="5" t="s">
        <v>469</v>
      </c>
      <c r="H69" s="5" t="s">
        <v>470</v>
      </c>
      <c r="I69" s="5" t="s">
        <v>471</v>
      </c>
      <c r="J69" s="10" t="s">
        <v>14</v>
      </c>
      <c r="K69" s="11"/>
      <c r="L69" s="11"/>
      <c r="M69" s="11"/>
    </row>
    <row r="70" customFormat="false" ht="42.75" hidden="false" customHeight="true" outlineLevel="0" collapsed="false">
      <c r="A70" s="4" t="s">
        <v>472</v>
      </c>
      <c r="B70" s="5" t="s">
        <v>473</v>
      </c>
      <c r="C70" s="5" t="s">
        <v>451</v>
      </c>
      <c r="D70" s="9" t="s">
        <v>27</v>
      </c>
      <c r="E70" s="5" t="s">
        <v>474</v>
      </c>
      <c r="F70" s="5" t="s">
        <v>83</v>
      </c>
      <c r="G70" s="5" t="s">
        <v>475</v>
      </c>
      <c r="H70" s="5" t="s">
        <v>476</v>
      </c>
      <c r="I70" s="5" t="s">
        <v>150</v>
      </c>
      <c r="J70" s="10" t="s">
        <v>14</v>
      </c>
      <c r="K70" s="11"/>
      <c r="L70" s="11"/>
      <c r="M70" s="11"/>
    </row>
  </sheetData>
  <autoFilter ref="A1:M70"/>
  <conditionalFormatting sqref="J2:J500">
    <cfRule type="expression" priority="2" aboveAverage="0" equalAverage="0" bottom="0" percent="0" rank="0" text="" dxfId="5">
      <formula>$J2="Пройден"</formula>
    </cfRule>
    <cfRule type="expression" priority="3" aboveAverage="0" equalAverage="0" bottom="0" percent="0" rank="0" text="" dxfId="6">
      <formula>$J2="Не пройден"</formula>
    </cfRule>
    <cfRule type="expression" priority="4" aboveAverage="0" equalAverage="0" bottom="0" percent="0" rank="0" text="" dxfId="7">
      <formula>$J2="Заблокирован"</formula>
    </cfRule>
    <cfRule type="expression" priority="5" aboveAverage="0" equalAverage="0" bottom="0" percent="0" rank="0" text="" dxfId="8">
      <formula>$J2="Пропущен"</formula>
    </cfRule>
  </conditionalFormatting>
  <dataValidations count="1">
    <dataValidation allowBlank="true" error="Выберите статус из списка" errorStyle="stop" errorTitle="Статус" operator="between" prompt="Выберите статус кейса" promptTitle="Статус" showDropDown="false" showErrorMessage="true" showInputMessage="true" sqref="J2:J500" type="list">
      <formula1>"Не выполнялся,Пройден,Не пройден,Заблокирован,Пропущен"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5.1"/>
    <col collapsed="false" customWidth="true" hidden="false" outlineLevel="0" max="4" min="4" style="0" width="15"/>
    <col collapsed="false" customWidth="true" hidden="false" outlineLevel="0" max="5" min="5" style="0" width="15.1"/>
    <col collapsed="false" customWidth="true" hidden="false" outlineLevel="0" max="6" min="6" style="0" width="15"/>
    <col collapsed="false" customWidth="true" hidden="false" outlineLevel="0" max="7" min="7" style="0" width="15.1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477</v>
      </c>
    </row>
    <row r="3" customFormat="false" ht="15" hidden="false" customHeight="false" outlineLevel="0" collapsed="false">
      <c r="A3" s="3" t="s">
        <v>478</v>
      </c>
    </row>
    <row r="4" customFormat="false" ht="15" hidden="false" customHeight="false" outlineLevel="0" collapsed="false">
      <c r="A4" s="12" t="s">
        <v>479</v>
      </c>
      <c r="B4" s="13"/>
      <c r="C4" s="13"/>
      <c r="D4" s="13"/>
      <c r="E4" s="14" t="s">
        <v>480</v>
      </c>
    </row>
    <row r="5" customFormat="false" ht="15" hidden="false" customHeight="false" outlineLevel="0" collapsed="false">
      <c r="A5" s="12" t="s">
        <v>481</v>
      </c>
      <c r="B5" s="13"/>
      <c r="C5" s="13"/>
      <c r="D5" s="13"/>
      <c r="E5" s="14" t="s">
        <v>482</v>
      </c>
    </row>
    <row r="6" customFormat="false" ht="15" hidden="false" customHeight="false" outlineLevel="0" collapsed="false">
      <c r="A6" s="12" t="s">
        <v>483</v>
      </c>
      <c r="B6" s="13"/>
      <c r="C6" s="13"/>
      <c r="D6" s="13"/>
      <c r="E6" s="14" t="s">
        <v>484</v>
      </c>
    </row>
    <row r="7" customFormat="false" ht="15" hidden="false" customHeight="false" outlineLevel="0" collapsed="false">
      <c r="A7" s="12" t="s">
        <v>485</v>
      </c>
      <c r="B7" s="13"/>
      <c r="C7" s="13"/>
      <c r="D7" s="13"/>
    </row>
    <row r="8" customFormat="false" ht="15" hidden="false" customHeight="false" outlineLevel="0" collapsed="false">
      <c r="A8" s="12" t="s">
        <v>486</v>
      </c>
      <c r="B8" s="13"/>
      <c r="C8" s="13"/>
      <c r="D8" s="13"/>
      <c r="E8" s="14" t="s">
        <v>487</v>
      </c>
    </row>
    <row r="9" customFormat="false" ht="15" hidden="false" customHeight="false" outlineLevel="0" collapsed="false">
      <c r="A9" s="12" t="s">
        <v>488</v>
      </c>
      <c r="B9" s="13"/>
      <c r="C9" s="13"/>
      <c r="D9" s="13"/>
      <c r="E9" s="14" t="s">
        <v>487</v>
      </c>
    </row>
    <row r="11" customFormat="false" ht="15" hidden="false" customHeight="false" outlineLevel="0" collapsed="false">
      <c r="A11" s="3" t="s">
        <v>489</v>
      </c>
    </row>
    <row r="12" customFormat="false" ht="15" hidden="false" customHeight="false" outlineLevel="0" collapsed="false">
      <c r="A12" s="12" t="s">
        <v>490</v>
      </c>
      <c r="B12" s="15" t="n">
        <f aca="false">COUNTA(Прогон!$A$2:$A$500)</f>
        <v>69</v>
      </c>
    </row>
    <row r="13" customFormat="false" ht="15" hidden="false" customHeight="false" outlineLevel="0" collapsed="false">
      <c r="A13" s="16" t="s">
        <v>16</v>
      </c>
      <c r="B13" s="17" t="n">
        <f aca="false">COUNTIF(Прогон!$J$2:$J$500,"Пройден")</f>
        <v>0</v>
      </c>
    </row>
    <row r="14" customFormat="false" ht="15" hidden="false" customHeight="false" outlineLevel="0" collapsed="false">
      <c r="A14" s="16" t="s">
        <v>18</v>
      </c>
      <c r="B14" s="17" t="n">
        <f aca="false">COUNTIF(Прогон!$J$2:$J$500,"Не пройден")</f>
        <v>0</v>
      </c>
    </row>
    <row r="15" customFormat="false" ht="15" hidden="false" customHeight="false" outlineLevel="0" collapsed="false">
      <c r="A15" s="16" t="s">
        <v>20</v>
      </c>
      <c r="B15" s="17" t="n">
        <f aca="false">COUNTIF(Прогон!$J$2:$J$500,"Заблокирован")</f>
        <v>0</v>
      </c>
    </row>
    <row r="16" customFormat="false" ht="15" hidden="false" customHeight="false" outlineLevel="0" collapsed="false">
      <c r="A16" s="16" t="s">
        <v>22</v>
      </c>
      <c r="B16" s="17" t="n">
        <f aca="false">COUNTIF(Прогон!$J$2:$J$500,"Пропущен")</f>
        <v>0</v>
      </c>
    </row>
    <row r="17" customFormat="false" ht="15" hidden="false" customHeight="false" outlineLevel="0" collapsed="false">
      <c r="A17" s="16" t="s">
        <v>14</v>
      </c>
      <c r="B17" s="17" t="n">
        <f aca="false">B12-SUM(B13:B16)</f>
        <v>69</v>
      </c>
      <c r="C17" s="14" t="s">
        <v>491</v>
      </c>
    </row>
    <row r="18" customFormat="false" ht="15" hidden="false" customHeight="false" outlineLevel="0" collapsed="false">
      <c r="A18" s="16" t="s">
        <v>492</v>
      </c>
      <c r="B18" s="18" t="n">
        <f aca="false">IF(B12=0,0,(B13+B14)/B12)</f>
        <v>0</v>
      </c>
      <c r="C18" s="14" t="s">
        <v>493</v>
      </c>
    </row>
    <row r="19" customFormat="false" ht="15" hidden="false" customHeight="false" outlineLevel="0" collapsed="false">
      <c r="A19" s="16" t="s">
        <v>494</v>
      </c>
      <c r="B19" s="18" t="str">
        <f aca="false">IF(B13+B14=0,"—",B13/(B13+B14))</f>
        <v>—</v>
      </c>
      <c r="C19" s="14" t="s">
        <v>495</v>
      </c>
    </row>
    <row r="21" customFormat="false" ht="15" hidden="false" customHeight="false" outlineLevel="0" collapsed="false">
      <c r="A21" s="3" t="s">
        <v>496</v>
      </c>
    </row>
    <row r="22" customFormat="false" ht="27.75" hidden="false" customHeight="true" outlineLevel="0" collapsed="false">
      <c r="A22" s="19" t="s">
        <v>65</v>
      </c>
      <c r="B22" s="7" t="s">
        <v>497</v>
      </c>
      <c r="C22" s="7" t="s">
        <v>16</v>
      </c>
      <c r="D22" s="7" t="s">
        <v>18</v>
      </c>
      <c r="E22" s="7" t="s">
        <v>20</v>
      </c>
      <c r="F22" s="7" t="s">
        <v>22</v>
      </c>
      <c r="G22" s="7" t="s">
        <v>14</v>
      </c>
    </row>
    <row r="23" customFormat="false" ht="15" hidden="false" customHeight="false" outlineLevel="0" collapsed="false">
      <c r="A23" s="16" t="s">
        <v>73</v>
      </c>
      <c r="B23" s="17" t="n">
        <f aca="false">COUNTIF(Прогон!$C$2:$C$500,$A23)</f>
        <v>1</v>
      </c>
      <c r="C23" s="17" t="n">
        <f aca="false">COUNTIFS(Прогон!$C$2:$C$500,$A23,Прогон!$J$2:$J$500,C$22)</f>
        <v>0</v>
      </c>
      <c r="D23" s="17" t="n">
        <f aca="false">COUNTIFS(Прогон!$C$2:$C$500,$A23,Прогон!$J$2:$J$500,D$22)</f>
        <v>0</v>
      </c>
      <c r="E23" s="17" t="n">
        <f aca="false">COUNTIFS(Прогон!$C$2:$C$500,$A23,Прогон!$J$2:$J$500,E$22)</f>
        <v>0</v>
      </c>
      <c r="F23" s="17" t="n">
        <f aca="false">COUNTIFS(Прогон!$C$2:$C$500,$A23,Прогон!$J$2:$J$500,F$22)</f>
        <v>0</v>
      </c>
      <c r="G23" s="17" t="n">
        <f aca="false">B23-SUM(C23:F23)</f>
        <v>1</v>
      </c>
    </row>
    <row r="24" customFormat="false" ht="15" hidden="false" customHeight="false" outlineLevel="0" collapsed="false">
      <c r="A24" s="16" t="s">
        <v>81</v>
      </c>
      <c r="B24" s="17" t="n">
        <f aca="false">COUNTIF(Прогон!$C$2:$C$500,$A24)</f>
        <v>14</v>
      </c>
      <c r="C24" s="17" t="n">
        <f aca="false">COUNTIFS(Прогон!$C$2:$C$500,$A24,Прогон!$J$2:$J$500,C$22)</f>
        <v>0</v>
      </c>
      <c r="D24" s="17" t="n">
        <f aca="false">COUNTIFS(Прогон!$C$2:$C$500,$A24,Прогон!$J$2:$J$500,D$22)</f>
        <v>0</v>
      </c>
      <c r="E24" s="17" t="n">
        <f aca="false">COUNTIFS(Прогон!$C$2:$C$500,$A24,Прогон!$J$2:$J$500,E$22)</f>
        <v>0</v>
      </c>
      <c r="F24" s="17" t="n">
        <f aca="false">COUNTIFS(Прогон!$C$2:$C$500,$A24,Прогон!$J$2:$J$500,F$22)</f>
        <v>0</v>
      </c>
      <c r="G24" s="17" t="n">
        <f aca="false">B24-SUM(C24:F24)</f>
        <v>14</v>
      </c>
    </row>
    <row r="25" customFormat="false" ht="15" hidden="false" customHeight="false" outlineLevel="0" collapsed="false">
      <c r="A25" s="16" t="s">
        <v>159</v>
      </c>
      <c r="B25" s="17" t="n">
        <f aca="false">COUNTIF(Прогон!$C$2:$C$500,$A25)</f>
        <v>14</v>
      </c>
      <c r="C25" s="17" t="n">
        <f aca="false">COUNTIFS(Прогон!$C$2:$C$500,$A25,Прогон!$J$2:$J$500,C$22)</f>
        <v>0</v>
      </c>
      <c r="D25" s="17" t="n">
        <f aca="false">COUNTIFS(Прогон!$C$2:$C$500,$A25,Прогон!$J$2:$J$500,D$22)</f>
        <v>0</v>
      </c>
      <c r="E25" s="17" t="n">
        <f aca="false">COUNTIFS(Прогон!$C$2:$C$500,$A25,Прогон!$J$2:$J$500,E$22)</f>
        <v>0</v>
      </c>
      <c r="F25" s="17" t="n">
        <f aca="false">COUNTIFS(Прогон!$C$2:$C$500,$A25,Прогон!$J$2:$J$500,F$22)</f>
        <v>0</v>
      </c>
      <c r="G25" s="17" t="n">
        <f aca="false">B25-SUM(C25:F25)</f>
        <v>14</v>
      </c>
    </row>
    <row r="26" customFormat="false" ht="15" hidden="false" customHeight="false" outlineLevel="0" collapsed="false">
      <c r="A26" s="16" t="s">
        <v>243</v>
      </c>
      <c r="B26" s="17" t="n">
        <f aca="false">COUNTIF(Прогон!$C$2:$C$500,$A26)</f>
        <v>10</v>
      </c>
      <c r="C26" s="17" t="n">
        <f aca="false">COUNTIFS(Прогон!$C$2:$C$500,$A26,Прогон!$J$2:$J$500,C$22)</f>
        <v>0</v>
      </c>
      <c r="D26" s="17" t="n">
        <f aca="false">COUNTIFS(Прогон!$C$2:$C$500,$A26,Прогон!$J$2:$J$500,D$22)</f>
        <v>0</v>
      </c>
      <c r="E26" s="17" t="n">
        <f aca="false">COUNTIFS(Прогон!$C$2:$C$500,$A26,Прогон!$J$2:$J$500,E$22)</f>
        <v>0</v>
      </c>
      <c r="F26" s="17" t="n">
        <f aca="false">COUNTIFS(Прогон!$C$2:$C$500,$A26,Прогон!$J$2:$J$500,F$22)</f>
        <v>0</v>
      </c>
      <c r="G26" s="17" t="n">
        <f aca="false">B26-SUM(C26:F26)</f>
        <v>10</v>
      </c>
    </row>
    <row r="27" customFormat="false" ht="15" hidden="false" customHeight="false" outlineLevel="0" collapsed="false">
      <c r="A27" s="16" t="s">
        <v>300</v>
      </c>
      <c r="B27" s="17" t="n">
        <f aca="false">COUNTIF(Прогон!$C$2:$C$500,$A27)</f>
        <v>9</v>
      </c>
      <c r="C27" s="17" t="n">
        <f aca="false">COUNTIFS(Прогон!$C$2:$C$500,$A27,Прогон!$J$2:$J$500,C$22)</f>
        <v>0</v>
      </c>
      <c r="D27" s="17" t="n">
        <f aca="false">COUNTIFS(Прогон!$C$2:$C$500,$A27,Прогон!$J$2:$J$500,D$22)</f>
        <v>0</v>
      </c>
      <c r="E27" s="17" t="n">
        <f aca="false">COUNTIFS(Прогон!$C$2:$C$500,$A27,Прогон!$J$2:$J$500,E$22)</f>
        <v>0</v>
      </c>
      <c r="F27" s="17" t="n">
        <f aca="false">COUNTIFS(Прогон!$C$2:$C$500,$A27,Прогон!$J$2:$J$500,F$22)</f>
        <v>0</v>
      </c>
      <c r="G27" s="17" t="n">
        <f aca="false">B27-SUM(C27:F27)</f>
        <v>9</v>
      </c>
    </row>
    <row r="28" customFormat="false" ht="15" hidden="false" customHeight="false" outlineLevel="0" collapsed="false">
      <c r="A28" s="16" t="s">
        <v>352</v>
      </c>
      <c r="B28" s="17" t="n">
        <f aca="false">COUNTIF(Прогон!$C$2:$C$500,$A28)</f>
        <v>5</v>
      </c>
      <c r="C28" s="17" t="n">
        <f aca="false">COUNTIFS(Прогон!$C$2:$C$500,$A28,Прогон!$J$2:$J$500,C$22)</f>
        <v>0</v>
      </c>
      <c r="D28" s="17" t="n">
        <f aca="false">COUNTIFS(Прогон!$C$2:$C$500,$A28,Прогон!$J$2:$J$500,D$22)</f>
        <v>0</v>
      </c>
      <c r="E28" s="17" t="n">
        <f aca="false">COUNTIFS(Прогон!$C$2:$C$500,$A28,Прогон!$J$2:$J$500,E$22)</f>
        <v>0</v>
      </c>
      <c r="F28" s="17" t="n">
        <f aca="false">COUNTIFS(Прогон!$C$2:$C$500,$A28,Прогон!$J$2:$J$500,F$22)</f>
        <v>0</v>
      </c>
      <c r="G28" s="17" t="n">
        <f aca="false">B28-SUM(C28:F28)</f>
        <v>5</v>
      </c>
    </row>
    <row r="29" customFormat="false" ht="15" hidden="false" customHeight="false" outlineLevel="0" collapsed="false">
      <c r="A29" s="16" t="s">
        <v>43</v>
      </c>
      <c r="B29" s="17" t="n">
        <f aca="false">COUNTIF(Прогон!$C$2:$C$500,$A29)</f>
        <v>11</v>
      </c>
      <c r="C29" s="17" t="n">
        <f aca="false">COUNTIFS(Прогон!$C$2:$C$500,$A29,Прогон!$J$2:$J$500,C$22)</f>
        <v>0</v>
      </c>
      <c r="D29" s="17" t="n">
        <f aca="false">COUNTIFS(Прогон!$C$2:$C$500,$A29,Прогон!$J$2:$J$500,D$22)</f>
        <v>0</v>
      </c>
      <c r="E29" s="17" t="n">
        <f aca="false">COUNTIFS(Прогон!$C$2:$C$500,$A29,Прогон!$J$2:$J$500,E$22)</f>
        <v>0</v>
      </c>
      <c r="F29" s="17" t="n">
        <f aca="false">COUNTIFS(Прогон!$C$2:$C$500,$A29,Прогон!$J$2:$J$500,F$22)</f>
        <v>0</v>
      </c>
      <c r="G29" s="17" t="n">
        <f aca="false">B29-SUM(C29:F29)</f>
        <v>11</v>
      </c>
    </row>
    <row r="30" customFormat="false" ht="15" hidden="false" customHeight="false" outlineLevel="0" collapsed="false">
      <c r="A30" s="16" t="s">
        <v>451</v>
      </c>
      <c r="B30" s="17" t="n">
        <f aca="false">COUNTIF(Прогон!$C$2:$C$500,$A30)</f>
        <v>5</v>
      </c>
      <c r="C30" s="17" t="n">
        <f aca="false">COUNTIFS(Прогон!$C$2:$C$500,$A30,Прогон!$J$2:$J$500,C$22)</f>
        <v>0</v>
      </c>
      <c r="D30" s="17" t="n">
        <f aca="false">COUNTIFS(Прогон!$C$2:$C$500,$A30,Прогон!$J$2:$J$500,D$22)</f>
        <v>0</v>
      </c>
      <c r="E30" s="17" t="n">
        <f aca="false">COUNTIFS(Прогон!$C$2:$C$500,$A30,Прогон!$J$2:$J$500,E$22)</f>
        <v>0</v>
      </c>
      <c r="F30" s="17" t="n">
        <f aca="false">COUNTIFS(Прогон!$C$2:$C$500,$A30,Прогон!$J$2:$J$500,F$22)</f>
        <v>0</v>
      </c>
      <c r="G30" s="17" t="n">
        <f aca="false">B30-SUM(C30:F30)</f>
        <v>5</v>
      </c>
    </row>
    <row r="31" customFormat="false" ht="15" hidden="false" customHeight="false" outlineLevel="0" collapsed="false">
      <c r="A31" s="20" t="s">
        <v>498</v>
      </c>
      <c r="B31" s="21" t="n">
        <f aca="false">SUM(B23:B30)</f>
        <v>69</v>
      </c>
      <c r="C31" s="21" t="n">
        <f aca="false">SUM(C23:C30)</f>
        <v>0</v>
      </c>
      <c r="D31" s="21" t="n">
        <f aca="false">SUM(D23:D30)</f>
        <v>0</v>
      </c>
      <c r="E31" s="21" t="n">
        <f aca="false">SUM(E23:E30)</f>
        <v>0</v>
      </c>
      <c r="F31" s="21" t="n">
        <f aca="false">SUM(F23:F30)</f>
        <v>0</v>
      </c>
      <c r="G31" s="21" t="n">
        <f aca="false">SUM(G23:G30)</f>
        <v>69</v>
      </c>
    </row>
    <row r="33" customFormat="false" ht="15" hidden="false" customHeight="false" outlineLevel="0" collapsed="false">
      <c r="A33" s="3" t="s">
        <v>499</v>
      </c>
    </row>
    <row r="34" customFormat="false" ht="27.75" hidden="false" customHeight="true" outlineLevel="0" collapsed="false">
      <c r="A34" s="19" t="s">
        <v>66</v>
      </c>
      <c r="B34" s="7" t="s">
        <v>497</v>
      </c>
      <c r="C34" s="7" t="s">
        <v>16</v>
      </c>
      <c r="D34" s="7" t="s">
        <v>18</v>
      </c>
      <c r="E34" s="7" t="s">
        <v>20</v>
      </c>
      <c r="F34" s="7" t="s">
        <v>22</v>
      </c>
      <c r="G34" s="7" t="s">
        <v>14</v>
      </c>
    </row>
    <row r="35" customFormat="false" ht="15" hidden="false" customHeight="false" outlineLevel="0" collapsed="false">
      <c r="A35" s="16" t="s">
        <v>25</v>
      </c>
      <c r="B35" s="17" t="n">
        <f aca="false">COUNTIF(Прогон!$D$2:$D$500,$A35)</f>
        <v>26</v>
      </c>
      <c r="C35" s="17" t="n">
        <f aca="false">COUNTIFS(Прогон!$D$2:$D$500,$A35,Прогон!$J$2:$J$500,C$34)</f>
        <v>0</v>
      </c>
      <c r="D35" s="17" t="n">
        <f aca="false">COUNTIFS(Прогон!$D$2:$D$500,$A35,Прогон!$J$2:$J$500,D$34)</f>
        <v>0</v>
      </c>
      <c r="E35" s="17" t="n">
        <f aca="false">COUNTIFS(Прогон!$D$2:$D$500,$A35,Прогон!$J$2:$J$500,E$34)</f>
        <v>0</v>
      </c>
      <c r="F35" s="17" t="n">
        <f aca="false">COUNTIFS(Прогон!$D$2:$D$500,$A35,Прогон!$J$2:$J$500,F$34)</f>
        <v>0</v>
      </c>
      <c r="G35" s="17" t="n">
        <f aca="false">B35-SUM(C35:F35)</f>
        <v>26</v>
      </c>
    </row>
    <row r="36" customFormat="false" ht="15" hidden="false" customHeight="false" outlineLevel="0" collapsed="false">
      <c r="A36" s="16" t="s">
        <v>27</v>
      </c>
      <c r="B36" s="17" t="n">
        <f aca="false">COUNTIF(Прогон!$D$2:$D$500,$A36)</f>
        <v>36</v>
      </c>
      <c r="C36" s="17" t="n">
        <f aca="false">COUNTIFS(Прогон!$D$2:$D$500,$A36,Прогон!$J$2:$J$500,C$34)</f>
        <v>0</v>
      </c>
      <c r="D36" s="17" t="n">
        <f aca="false">COUNTIFS(Прогон!$D$2:$D$500,$A36,Прогон!$J$2:$J$500,D$34)</f>
        <v>0</v>
      </c>
      <c r="E36" s="17" t="n">
        <f aca="false">COUNTIFS(Прогон!$D$2:$D$500,$A36,Прогон!$J$2:$J$500,E$34)</f>
        <v>0</v>
      </c>
      <c r="F36" s="17" t="n">
        <f aca="false">COUNTIFS(Прогон!$D$2:$D$500,$A36,Прогон!$J$2:$J$500,F$34)</f>
        <v>0</v>
      </c>
      <c r="G36" s="17" t="n">
        <f aca="false">B36-SUM(C36:F36)</f>
        <v>36</v>
      </c>
    </row>
    <row r="37" customFormat="false" ht="15" hidden="false" customHeight="false" outlineLevel="0" collapsed="false">
      <c r="A37" s="16" t="s">
        <v>29</v>
      </c>
      <c r="B37" s="17" t="n">
        <f aca="false">COUNTIF(Прогон!$D$2:$D$500,$A37)</f>
        <v>7</v>
      </c>
      <c r="C37" s="17" t="n">
        <f aca="false">COUNTIFS(Прогон!$D$2:$D$500,$A37,Прогон!$J$2:$J$500,C$34)</f>
        <v>0</v>
      </c>
      <c r="D37" s="17" t="n">
        <f aca="false">COUNTIFS(Прогон!$D$2:$D$500,$A37,Прогон!$J$2:$J$500,D$34)</f>
        <v>0</v>
      </c>
      <c r="E37" s="17" t="n">
        <f aca="false">COUNTIFS(Прогон!$D$2:$D$500,$A37,Прогон!$J$2:$J$500,E$34)</f>
        <v>0</v>
      </c>
      <c r="F37" s="17" t="n">
        <f aca="false">COUNTIFS(Прогон!$D$2:$D$500,$A37,Прогон!$J$2:$J$500,F$34)</f>
        <v>0</v>
      </c>
      <c r="G37" s="17" t="n">
        <f aca="false">B37-SUM(C37:F37)</f>
        <v>7</v>
      </c>
    </row>
    <row r="38" customFormat="false" ht="15" hidden="false" customHeight="false" outlineLevel="0" collapsed="false">
      <c r="A38" s="20" t="s">
        <v>498</v>
      </c>
      <c r="B38" s="21" t="n">
        <f aca="false">SUM(B35:B37)</f>
        <v>69</v>
      </c>
      <c r="C38" s="21" t="n">
        <f aca="false">SUM(C35:C37)</f>
        <v>0</v>
      </c>
      <c r="D38" s="21" t="n">
        <f aca="false">SUM(D35:D37)</f>
        <v>0</v>
      </c>
      <c r="E38" s="21" t="n">
        <f aca="false">SUM(E35:E37)</f>
        <v>0</v>
      </c>
      <c r="F38" s="21" t="n">
        <f aca="false">SUM(F35:F37)</f>
        <v>0</v>
      </c>
      <c r="G38" s="21" t="n">
        <f aca="false">SUM(G35:G37)</f>
        <v>69</v>
      </c>
    </row>
  </sheetData>
  <mergeCells count="6"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2026-09-27T10:16:41Z</dcterms:created>
  <dc:creator>openpyxl</dc:creator>
  <dc:description/>
  <dc:language>ru-RU</dc:language>
  <cp:lastModifiedBy/>
  <dcterms:modified xsi:type="dcterms:W3CDTF">2026-09-27T10:16:41Z</dcterms:modified>
  <cp:revision>0</cp:revision>
  <dc:subject/>
  <dc:title>Тестовые кейсы: калькулятор, JS-версия — без арифметических операций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